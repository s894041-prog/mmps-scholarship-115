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113教務\註冊\獎助學金\禾山林綠能獎助學金\"/>
    </mc:Choice>
  </mc:AlternateContent>
  <xr:revisionPtr revIDLastSave="0" documentId="13_ncr:1_{38E8F94C-A7EE-4E95-B68B-5A145246CA4D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112-1禾山林名單" sheetId="1" r:id="rId1"/>
    <sheet name="112-1印領清冊" sheetId="3" r:id="rId2"/>
    <sheet name="112-1憑證" sheetId="6" r:id="rId3"/>
    <sheet name="112-2印領清冊 " sheetId="7" r:id="rId4"/>
    <sheet name="112-2憑證" sheetId="8" r:id="rId5"/>
    <sheet name="113-1印領清冊" sheetId="9" r:id="rId6"/>
    <sheet name="113-1憑證" sheetId="10" r:id="rId7"/>
    <sheet name="113-2印領清冊" sheetId="11" r:id="rId8"/>
    <sheet name="113-2憑證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2" l="1"/>
  <c r="P26" i="12" s="1"/>
  <c r="P18" i="10"/>
  <c r="P26" i="10" s="1"/>
  <c r="P18" i="8"/>
  <c r="A18" i="6"/>
  <c r="A19" i="6"/>
  <c r="A20" i="6"/>
  <c r="A21" i="6"/>
  <c r="A22" i="6"/>
  <c r="A23" i="6"/>
  <c r="A24" i="6"/>
  <c r="A25" i="6"/>
  <c r="P25" i="6"/>
  <c r="P24" i="6"/>
  <c r="P23" i="6"/>
  <c r="P22" i="6"/>
  <c r="P21" i="6"/>
  <c r="P20" i="6"/>
  <c r="P19" i="6"/>
  <c r="P18" i="6"/>
  <c r="P26" i="8" l="1"/>
  <c r="P26" i="6"/>
</calcChain>
</file>

<file path=xl/sharedStrings.xml><?xml version="1.0" encoding="utf-8"?>
<sst xmlns="http://schemas.openxmlformats.org/spreadsheetml/2006/main" count="467" uniqueCount="160">
  <si>
    <t>一年甲班</t>
  </si>
  <si>
    <t>二年甲班</t>
  </si>
  <si>
    <t>三年甲班</t>
  </si>
  <si>
    <t>四年甲班</t>
  </si>
  <si>
    <t>詹可微</t>
  </si>
  <si>
    <t>B224256375</t>
  </si>
  <si>
    <t>五年甲班</t>
  </si>
  <si>
    <t>六年甲班</t>
  </si>
  <si>
    <t>班級</t>
    <phoneticPr fontId="1" type="noConversion"/>
  </si>
  <si>
    <t>座號</t>
    <phoneticPr fontId="1" type="noConversion"/>
  </si>
  <si>
    <t>姓名</t>
    <phoneticPr fontId="1" type="noConversion"/>
  </si>
  <si>
    <t>編號</t>
    <phoneticPr fontId="1" type="noConversion"/>
  </si>
  <si>
    <r>
      <rPr>
        <sz val="12"/>
        <color rgb="FF000000"/>
        <rFont val="標楷體"/>
        <family val="4"/>
        <charset val="136"/>
      </rPr>
      <t>班級</t>
    </r>
    <phoneticPr fontId="1" type="noConversion"/>
  </si>
  <si>
    <r>
      <rPr>
        <sz val="12"/>
        <color rgb="FF000000"/>
        <rFont val="標楷體"/>
        <family val="4"/>
        <charset val="136"/>
      </rPr>
      <t>座號</t>
    </r>
    <phoneticPr fontId="1" type="noConversion"/>
  </si>
  <si>
    <r>
      <rPr>
        <sz val="12"/>
        <color rgb="FF000000"/>
        <rFont val="標楷體"/>
        <family val="4"/>
        <charset val="136"/>
      </rPr>
      <t>姓名</t>
    </r>
    <phoneticPr fontId="1" type="noConversion"/>
  </si>
  <si>
    <r>
      <rPr>
        <sz val="12"/>
        <color rgb="FF000000"/>
        <rFont val="標楷體"/>
        <family val="4"/>
        <charset val="136"/>
      </rPr>
      <t>生日</t>
    </r>
    <phoneticPr fontId="1" type="noConversion"/>
  </si>
  <si>
    <r>
      <rPr>
        <sz val="12"/>
        <color rgb="FF000000"/>
        <rFont val="標楷體"/>
        <family val="4"/>
        <charset val="136"/>
      </rPr>
      <t>身分證</t>
    </r>
    <phoneticPr fontId="1" type="noConversion"/>
  </si>
  <si>
    <r>
      <rPr>
        <sz val="12"/>
        <color rgb="FF000000"/>
        <rFont val="標楷體"/>
        <family val="4"/>
        <charset val="136"/>
      </rPr>
      <t>性別</t>
    </r>
    <phoneticPr fontId="1" type="noConversion"/>
  </si>
  <si>
    <r>
      <rPr>
        <sz val="12"/>
        <color rgb="FF000000"/>
        <rFont val="標楷體"/>
        <family val="4"/>
        <charset val="136"/>
      </rPr>
      <t>地址</t>
    </r>
    <phoneticPr fontId="1" type="noConversion"/>
  </si>
  <si>
    <r>
      <rPr>
        <sz val="12"/>
        <color rgb="FF000000"/>
        <rFont val="標楷體"/>
        <family val="4"/>
        <charset val="136"/>
      </rPr>
      <t>連絡電話</t>
    </r>
    <phoneticPr fontId="1" type="noConversion"/>
  </si>
  <si>
    <t>金額</t>
    <phoneticPr fontId="1" type="noConversion"/>
  </si>
  <si>
    <t>校長</t>
    <phoneticPr fontId="1" type="noConversion"/>
  </si>
  <si>
    <t>簽章</t>
    <phoneticPr fontId="1" type="noConversion"/>
  </si>
  <si>
    <t>製表人</t>
    <phoneticPr fontId="1" type="noConversion"/>
  </si>
  <si>
    <t>出納</t>
    <phoneticPr fontId="1" type="noConversion"/>
  </si>
  <si>
    <t>會計</t>
    <phoneticPr fontId="1" type="noConversion"/>
  </si>
  <si>
    <t>臺中市外埔區馬鳴國民小學</t>
    <phoneticPr fontId="8" type="noConversion"/>
  </si>
  <si>
    <t>支出(收入)粘貼憑證用紙</t>
  </si>
  <si>
    <t>憑證編號</t>
  </si>
  <si>
    <t>預 算 科 目</t>
    <phoneticPr fontId="8" type="noConversion"/>
  </si>
  <si>
    <t>金            額</t>
  </si>
  <si>
    <t>用    途    說    明</t>
    <phoneticPr fontId="8" type="noConversion"/>
  </si>
  <si>
    <t>千萬</t>
  </si>
  <si>
    <t>百萬</t>
  </si>
  <si>
    <t>十萬</t>
  </si>
  <si>
    <t>萬</t>
  </si>
  <si>
    <t>千</t>
  </si>
  <si>
    <t>百</t>
  </si>
  <si>
    <t>十</t>
  </si>
  <si>
    <t>元</t>
  </si>
  <si>
    <t xml:space="preserve">收           支  </t>
    <phoneticPr fontId="8" type="noConversion"/>
  </si>
  <si>
    <t>應付代收款</t>
    <phoneticPr fontId="8" type="noConversion"/>
  </si>
  <si>
    <t>＄</t>
  </si>
  <si>
    <t>V選付款情形</t>
  </si>
  <si>
    <t>1.本憑證未付現</t>
  </si>
  <si>
    <t>□</t>
  </si>
  <si>
    <t>2.零用金付現</t>
  </si>
  <si>
    <t>經辦人 (1)</t>
    <phoneticPr fontId="8" type="noConversion"/>
  </si>
  <si>
    <t xml:space="preserve"> 財務登記</t>
    <phoneticPr fontId="8" type="noConversion"/>
  </si>
  <si>
    <t xml:space="preserve">  總務主任</t>
    <phoneticPr fontId="8" type="noConversion"/>
  </si>
  <si>
    <t>校長 (7)</t>
    <phoneticPr fontId="8" type="noConversion"/>
  </si>
  <si>
    <t xml:space="preserve"> 或所得登記</t>
    <phoneticPr fontId="8" type="noConversion"/>
  </si>
  <si>
    <t xml:space="preserve"> (單位主管)</t>
    <phoneticPr fontId="8" type="noConversion"/>
  </si>
  <si>
    <t xml:space="preserve"> </t>
  </si>
  <si>
    <t>領款簽章</t>
  </si>
  <si>
    <t>驗收或證明 (2)</t>
    <phoneticPr fontId="8" type="noConversion"/>
  </si>
  <si>
    <t>保管人或領用人 (4)</t>
  </si>
  <si>
    <t>主辦會計 (6)</t>
    <phoneticPr fontId="8" type="noConversion"/>
  </si>
  <si>
    <t>憑           證          黏          貼           處</t>
  </si>
  <si>
    <t>財 產  (物品)  請購 (修) 單</t>
  </si>
  <si>
    <t>品            名</t>
    <phoneticPr fontId="8" type="noConversion"/>
  </si>
  <si>
    <t>規     格</t>
    <phoneticPr fontId="8" type="noConversion"/>
  </si>
  <si>
    <t>單   位</t>
    <phoneticPr fontId="8" type="noConversion"/>
  </si>
  <si>
    <t>數    量</t>
    <phoneticPr fontId="8" type="noConversion"/>
  </si>
  <si>
    <t>單   價</t>
    <phoneticPr fontId="8" type="noConversion"/>
  </si>
  <si>
    <t>金    額</t>
    <phoneticPr fontId="8" type="noConversion"/>
  </si>
  <si>
    <t>合      計</t>
    <phoneticPr fontId="8" type="noConversion"/>
  </si>
  <si>
    <t>請   購   人</t>
    <phoneticPr fontId="8" type="noConversion"/>
  </si>
  <si>
    <t>事  務  組  長</t>
    <phoneticPr fontId="8" type="noConversion"/>
  </si>
  <si>
    <t>會  計  推  算</t>
    <phoneticPr fontId="8" type="noConversion"/>
  </si>
  <si>
    <t>校         長</t>
    <phoneticPr fontId="8" type="noConversion"/>
  </si>
  <si>
    <t>請購單位主管</t>
    <phoneticPr fontId="8" type="noConversion"/>
  </si>
  <si>
    <t>總  務  主  任</t>
    <phoneticPr fontId="8" type="noConversion"/>
  </si>
  <si>
    <r>
      <t>一、</t>
    </r>
    <r>
      <rPr>
        <sz val="7"/>
        <rFont val="Times New Roman"/>
        <family val="1"/>
      </rPr>
      <t xml:space="preserve">  </t>
    </r>
    <r>
      <rPr>
        <sz val="10.5"/>
        <rFont val="標楷體"/>
        <family val="4"/>
        <charset val="136"/>
      </rPr>
      <t>不同工作計畫及用途別科目、物品類別者，請分別填寫本單。</t>
    </r>
  </si>
  <si>
    <r>
      <t>二、</t>
    </r>
    <r>
      <rPr>
        <sz val="7"/>
        <rFont val="Times New Roman"/>
        <family val="1"/>
      </rPr>
      <t xml:space="preserve">  </t>
    </r>
    <r>
      <rPr>
        <sz val="10.5"/>
        <rFont val="標楷體"/>
        <family val="4"/>
        <charset val="136"/>
      </rPr>
      <t>請購單位請詳列財物規格或附說明書，如有合適之廠牌請一併提供採購單位參考。</t>
    </r>
  </si>
  <si>
    <r>
      <t>三、</t>
    </r>
    <r>
      <rPr>
        <sz val="7"/>
        <rFont val="Times New Roman"/>
        <family val="1"/>
      </rPr>
      <t xml:space="preserve">  </t>
    </r>
    <r>
      <rPr>
        <sz val="10.5"/>
        <rFont val="標楷體"/>
        <family val="4"/>
        <charset val="136"/>
      </rPr>
      <t>財產或非消耗品核銷時，須附財產增加單或借用單，並加會財務管理人員。</t>
    </r>
  </si>
  <si>
    <t>女</t>
  </si>
  <si>
    <t>林芯卉</t>
  </si>
  <si>
    <t>劉芸亘</t>
  </si>
  <si>
    <t>劉芮彤</t>
  </si>
  <si>
    <t>男</t>
  </si>
  <si>
    <t>B225017336</t>
  </si>
  <si>
    <t>B224902685</t>
  </si>
  <si>
    <t>B224692273</t>
  </si>
  <si>
    <t>臺中市外埔區馬鳴里2鄰土城路447號</t>
  </si>
  <si>
    <t>臺中市外埔區馬鳴里5鄰新厝路31號</t>
  </si>
  <si>
    <t>臺中市外埔區馬鳴里新厝路31號</t>
  </si>
  <si>
    <t>臺中市外埔區馬鳴里004鄰新厝路１８號</t>
  </si>
  <si>
    <t>0925102503</t>
  </si>
  <si>
    <t>0933433792</t>
  </si>
  <si>
    <t>04-26838779</t>
  </si>
  <si>
    <t>班級</t>
  </si>
  <si>
    <t>座號</t>
  </si>
  <si>
    <t>姓名</t>
  </si>
  <si>
    <t>性別</t>
  </si>
  <si>
    <t>身分證號</t>
  </si>
  <si>
    <t>生日(西元)</t>
  </si>
  <si>
    <t>居住地址</t>
  </si>
  <si>
    <t>戶籍地址</t>
  </si>
  <si>
    <t>通訊電話</t>
  </si>
  <si>
    <t>緊急聯絡電話</t>
  </si>
  <si>
    <t>一年甲班</t>
    <phoneticPr fontId="1" type="noConversion"/>
  </si>
  <si>
    <t>朱德偉</t>
  </si>
  <si>
    <t>B125229610</t>
  </si>
  <si>
    <t>馬鳴里　012鄰　東西巷８６號之１</t>
  </si>
  <si>
    <t>0916-217862(父)</t>
  </si>
  <si>
    <t>0928-946176(母)</t>
  </si>
  <si>
    <t>廖盈穎</t>
  </si>
  <si>
    <t>B225122387</t>
  </si>
  <si>
    <t>台中市外埔區馬鳴里10鄰東西巷52之12號</t>
  </si>
  <si>
    <t>外埔區六分里10鄰水頭一路295巷39號</t>
  </si>
  <si>
    <t>0963-438389(母)</t>
  </si>
  <si>
    <t>0923-558055(父)</t>
  </si>
  <si>
    <t>吳柏諺</t>
  </si>
  <si>
    <t>B125162469</t>
  </si>
  <si>
    <t>馬鳴里　003鄰　新厝路１１之１號</t>
  </si>
  <si>
    <t>0980394505</t>
  </si>
  <si>
    <t>范品睿</t>
  </si>
  <si>
    <t>B125162727</t>
  </si>
  <si>
    <t>馬鳴里　005鄰　新厝路３０之１號</t>
  </si>
  <si>
    <t>04-26835387</t>
  </si>
  <si>
    <t>臺中市外埔區中山里東西巷65弄7號</t>
  </si>
  <si>
    <t>04-26830780</t>
  </si>
  <si>
    <t>六分里甲后路三段600巷31弄1號</t>
  </si>
  <si>
    <t>04-26888522</t>
  </si>
  <si>
    <t>0927-269661</t>
  </si>
  <si>
    <t>0919823163</t>
  </si>
  <si>
    <t>范品睿</t>
    <phoneticPr fontId="1" type="noConversion"/>
  </si>
  <si>
    <t>朱德偉</t>
    <phoneticPr fontId="1" type="noConversion"/>
  </si>
  <si>
    <t>臺中市外埔區馬鳴國小112學年度上學期
禾山林獎助學金印領清冊</t>
    <phoneticPr fontId="1" type="noConversion"/>
  </si>
  <si>
    <t>臺中市外埔區馬鳴國小112學年度上學期禾山林獎助學金</t>
    <phoneticPr fontId="1" type="noConversion"/>
  </si>
  <si>
    <t>□</t>
    <phoneticPr fontId="1" type="noConversion"/>
  </si>
  <si>
    <t>□</t>
    <phoneticPr fontId="8" type="noConversion"/>
  </si>
  <si>
    <t>請購日期：    112  年  10  月  23  日</t>
    <phoneticPr fontId="8" type="noConversion"/>
  </si>
  <si>
    <t>3.由 國城 代墊</t>
    <phoneticPr fontId="8" type="noConversion"/>
  </si>
  <si>
    <t>臺中市外埔區馬鳴國小112學年度下學期
禾山林獎助學金印領清冊</t>
    <phoneticPr fontId="1" type="noConversion"/>
  </si>
  <si>
    <t>朱謙牧</t>
    <phoneticPr fontId="1" type="noConversion"/>
  </si>
  <si>
    <t>賴逸綸</t>
    <phoneticPr fontId="1" type="noConversion"/>
  </si>
  <si>
    <t>張育婕</t>
    <phoneticPr fontId="1" type="noConversion"/>
  </si>
  <si>
    <t>禾山林獎助學金</t>
    <phoneticPr fontId="1" type="noConversion"/>
  </si>
  <si>
    <t>臺中市外埔區馬鳴國小112學年度下學期禾山林獎助學金</t>
    <phoneticPr fontId="1" type="noConversion"/>
  </si>
  <si>
    <t>請購日期：    113  年  3  月  25  日</t>
    <phoneticPr fontId="8" type="noConversion"/>
  </si>
  <si>
    <t>臺中市外埔區馬鳴國小113學年度上學期
禾山林獎助學金印領清冊</t>
    <phoneticPr fontId="1" type="noConversion"/>
  </si>
  <si>
    <t>賴璿恩</t>
    <phoneticPr fontId="1" type="noConversion"/>
  </si>
  <si>
    <t>顏宥宇</t>
    <phoneticPr fontId="1" type="noConversion"/>
  </si>
  <si>
    <t>林芯如</t>
    <phoneticPr fontId="1" type="noConversion"/>
  </si>
  <si>
    <t>高姵甄</t>
    <phoneticPr fontId="1" type="noConversion"/>
  </si>
  <si>
    <t>吳柏諺</t>
    <phoneticPr fontId="1" type="noConversion"/>
  </si>
  <si>
    <t>林芯卉</t>
    <phoneticPr fontId="1" type="noConversion"/>
  </si>
  <si>
    <t>劉芸亘</t>
    <phoneticPr fontId="1" type="noConversion"/>
  </si>
  <si>
    <t>顏岑亦</t>
    <phoneticPr fontId="1" type="noConversion"/>
  </si>
  <si>
    <t>臺中市外埔區馬鳴國小113學年度上學期禾山林獎助學金</t>
    <phoneticPr fontId="1" type="noConversion"/>
  </si>
  <si>
    <t>113學年度上學期禾山林獎助學金</t>
    <phoneticPr fontId="1" type="noConversion"/>
  </si>
  <si>
    <t>請購日期：    113  年  10  月  21  日</t>
    <phoneticPr fontId="8" type="noConversion"/>
  </si>
  <si>
    <t>臺中市外埔區馬鳴國小113學年度下學期
禾山林獎助學金印領清冊</t>
    <phoneticPr fontId="1" type="noConversion"/>
  </si>
  <si>
    <t>林浩瑋</t>
    <phoneticPr fontId="1" type="noConversion"/>
  </si>
  <si>
    <t>李季瑄</t>
    <phoneticPr fontId="1" type="noConversion"/>
  </si>
  <si>
    <t>3.由    代墊</t>
    <phoneticPr fontId="8" type="noConversion"/>
  </si>
  <si>
    <t>請購日期：    114 年  3  月  13  日</t>
    <phoneticPr fontId="8" type="noConversion"/>
  </si>
  <si>
    <t>臺中市外埔區馬鳴國小113學年度
下學期禾山林獎助學金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</si>
</sst>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26" x14ac:knownFonts="1">
    <font>
      <sz val="11"/>
      <color rgb="FF000000"/>
      <name val="Calibri"/>
    </font>
    <font>
      <sz val="9"/>
      <name val="細明體"/>
      <family val="3"/>
      <charset val="136"/>
    </font>
    <font>
      <sz val="16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000000"/>
      <name val="Comic Sans MS"/>
      <family val="4"/>
    </font>
    <font>
      <b/>
      <sz val="16"/>
      <color rgb="FF000000"/>
      <name val="標楷體"/>
      <family val="4"/>
      <charset val="136"/>
    </font>
    <font>
      <sz val="11"/>
      <color rgb="FF000000"/>
      <name val="標楷體"/>
      <family val="4"/>
      <charset val="136"/>
    </font>
    <font>
      <u/>
      <sz val="18"/>
      <name val="標楷體"/>
      <family val="4"/>
      <charset val="136"/>
    </font>
    <font>
      <sz val="9"/>
      <name val="新細明體"/>
      <family val="1"/>
      <charset val="136"/>
    </font>
    <font>
      <sz val="16"/>
      <name val="標楷體"/>
      <family val="4"/>
      <charset val="136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name val="標楷體"/>
      <family val="4"/>
      <charset val="136"/>
    </font>
    <font>
      <b/>
      <sz val="12"/>
      <name val="新細明體"/>
      <family val="1"/>
      <charset val="136"/>
    </font>
    <font>
      <sz val="14"/>
      <name val="BatangChe"/>
      <family val="3"/>
      <charset val="129"/>
    </font>
    <font>
      <sz val="10"/>
      <name val="標楷體"/>
      <family val="4"/>
      <charset val="136"/>
    </font>
    <font>
      <u/>
      <sz val="14"/>
      <name val="標楷體"/>
      <family val="4"/>
      <charset val="136"/>
    </font>
    <font>
      <u/>
      <sz val="12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name val="標楷體"/>
      <family val="4"/>
      <charset val="136"/>
    </font>
    <font>
      <sz val="14"/>
      <name val="新細明體"/>
      <family val="1"/>
      <charset val="136"/>
    </font>
    <font>
      <sz val="10.5"/>
      <name val="標楷體"/>
      <family val="4"/>
      <charset val="136"/>
    </font>
    <font>
      <sz val="7"/>
      <name val="Times New Roman"/>
      <family val="1"/>
    </font>
    <font>
      <sz val="11"/>
      <color rgb="FF000000"/>
      <name val="微軟正黑體"/>
      <family val="2"/>
      <charset val="136"/>
    </font>
    <font>
      <sz val="14"/>
      <name val="Segoe UI Symbol"/>
      <family val="1"/>
    </font>
    <font>
      <sz val="13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/>
    <xf numFmtId="0" fontId="6" fillId="0" borderId="0" xfId="0" applyFont="1"/>
    <xf numFmtId="0" fontId="6" fillId="0" borderId="0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indent="2"/>
    </xf>
    <xf numFmtId="0" fontId="0" fillId="0" borderId="17" xfId="0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0" fillId="0" borderId="6" xfId="0" applyFont="1" applyBorder="1" applyAlignment="1">
      <alignment vertical="center" wrapText="1"/>
    </xf>
    <xf numFmtId="0" fontId="0" fillId="0" borderId="25" xfId="0" applyBorder="1" applyAlignment="1">
      <alignment vertical="center"/>
    </xf>
    <xf numFmtId="0" fontId="12" fillId="0" borderId="25" xfId="0" applyFont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3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0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2" xfId="0" applyBorder="1" applyAlignment="1">
      <alignment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/>
    </xf>
    <xf numFmtId="0" fontId="19" fillId="2" borderId="37" xfId="0" applyFont="1" applyFill="1" applyBorder="1" applyAlignment="1">
      <alignment horizontal="center" vertical="center"/>
    </xf>
    <xf numFmtId="0" fontId="20" fillId="2" borderId="37" xfId="0" applyFont="1" applyFill="1" applyBorder="1" applyAlignment="1">
      <alignment horizontal="center" vertical="center"/>
    </xf>
    <xf numFmtId="0" fontId="20" fillId="2" borderId="35" xfId="0" applyFont="1" applyFill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top" wrapText="1"/>
    </xf>
    <xf numFmtId="0" fontId="25" fillId="0" borderId="33" xfId="0" applyFont="1" applyBorder="1" applyAlignment="1">
      <alignment horizontal="center" vertical="top" wrapText="1"/>
    </xf>
    <xf numFmtId="0" fontId="25" fillId="0" borderId="1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33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59055</xdr:rowOff>
    </xdr:from>
    <xdr:to>
      <xdr:col>6</xdr:col>
      <xdr:colOff>7620</xdr:colOff>
      <xdr:row>8</xdr:row>
      <xdr:rowOff>144780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1783080" y="1986915"/>
          <a:ext cx="434340" cy="291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2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( 3  ) </a:t>
          </a:r>
        </a:p>
        <a:p>
          <a:pPr algn="l" rtl="1">
            <a:lnSpc>
              <a:spcPts val="1200"/>
            </a:lnSpc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47626</xdr:colOff>
      <xdr:row>7</xdr:row>
      <xdr:rowOff>74295</xdr:rowOff>
    </xdr:from>
    <xdr:to>
      <xdr:col>11</xdr:col>
      <xdr:colOff>200026</xdr:colOff>
      <xdr:row>8</xdr:row>
      <xdr:rowOff>140970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038476" y="2007870"/>
          <a:ext cx="36195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3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( 5  )</a:t>
          </a:r>
        </a:p>
        <a:p>
          <a:pPr algn="l" rtl="1"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lnSpc>
              <a:spcPts val="1200"/>
            </a:lnSpc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59055</xdr:rowOff>
    </xdr:from>
    <xdr:to>
      <xdr:col>6</xdr:col>
      <xdr:colOff>7620</xdr:colOff>
      <xdr:row>8</xdr:row>
      <xdr:rowOff>144780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EC31629F-9420-4FED-A957-E9007161B61B}"/>
            </a:ext>
          </a:extLst>
        </xdr:cNvPr>
        <xdr:cNvSpPr txBox="1">
          <a:spLocks noChangeArrowheads="1"/>
        </xdr:cNvSpPr>
      </xdr:nvSpPr>
      <xdr:spPr bwMode="auto">
        <a:xfrm>
          <a:off x="1733550" y="1992630"/>
          <a:ext cx="42672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2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( 3  ) </a:t>
          </a:r>
        </a:p>
        <a:p>
          <a:pPr algn="l" rtl="1">
            <a:lnSpc>
              <a:spcPts val="1200"/>
            </a:lnSpc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47626</xdr:colOff>
      <xdr:row>7</xdr:row>
      <xdr:rowOff>74295</xdr:rowOff>
    </xdr:from>
    <xdr:to>
      <xdr:col>11</xdr:col>
      <xdr:colOff>200026</xdr:colOff>
      <xdr:row>8</xdr:row>
      <xdr:rowOff>140970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90AC78F4-143A-4218-B09C-64D73F934A29}"/>
            </a:ext>
          </a:extLst>
        </xdr:cNvPr>
        <xdr:cNvSpPr txBox="1">
          <a:spLocks noChangeArrowheads="1"/>
        </xdr:cNvSpPr>
      </xdr:nvSpPr>
      <xdr:spPr bwMode="auto">
        <a:xfrm>
          <a:off x="3038476" y="2007870"/>
          <a:ext cx="36195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3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( 5  )</a:t>
          </a:r>
        </a:p>
        <a:p>
          <a:pPr algn="l" rtl="1"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lnSpc>
              <a:spcPts val="1200"/>
            </a:lnSpc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59055</xdr:rowOff>
    </xdr:from>
    <xdr:to>
      <xdr:col>6</xdr:col>
      <xdr:colOff>7620</xdr:colOff>
      <xdr:row>8</xdr:row>
      <xdr:rowOff>144780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8160EFA3-2A02-4931-B93C-F1603A61B5DC}"/>
            </a:ext>
          </a:extLst>
        </xdr:cNvPr>
        <xdr:cNvSpPr txBox="1">
          <a:spLocks noChangeArrowheads="1"/>
        </xdr:cNvSpPr>
      </xdr:nvSpPr>
      <xdr:spPr bwMode="auto">
        <a:xfrm>
          <a:off x="1733550" y="1992630"/>
          <a:ext cx="42672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2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( 3  ) </a:t>
          </a:r>
        </a:p>
        <a:p>
          <a:pPr algn="l" rtl="1">
            <a:lnSpc>
              <a:spcPts val="1200"/>
            </a:lnSpc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47626</xdr:colOff>
      <xdr:row>7</xdr:row>
      <xdr:rowOff>74295</xdr:rowOff>
    </xdr:from>
    <xdr:to>
      <xdr:col>11</xdr:col>
      <xdr:colOff>200026</xdr:colOff>
      <xdr:row>8</xdr:row>
      <xdr:rowOff>140970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9072D1DB-97B8-4B85-86D7-DB39F3D1B82C}"/>
            </a:ext>
          </a:extLst>
        </xdr:cNvPr>
        <xdr:cNvSpPr txBox="1">
          <a:spLocks noChangeArrowheads="1"/>
        </xdr:cNvSpPr>
      </xdr:nvSpPr>
      <xdr:spPr bwMode="auto">
        <a:xfrm>
          <a:off x="3038476" y="2007870"/>
          <a:ext cx="36195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3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( 5  )</a:t>
          </a:r>
        </a:p>
        <a:p>
          <a:pPr algn="l" rtl="1"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lnSpc>
              <a:spcPts val="1200"/>
            </a:lnSpc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59055</xdr:rowOff>
    </xdr:from>
    <xdr:to>
      <xdr:col>6</xdr:col>
      <xdr:colOff>7620</xdr:colOff>
      <xdr:row>8</xdr:row>
      <xdr:rowOff>144780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4F076251-32A4-4E89-B258-DCC4941C20EE}"/>
            </a:ext>
          </a:extLst>
        </xdr:cNvPr>
        <xdr:cNvSpPr txBox="1">
          <a:spLocks noChangeArrowheads="1"/>
        </xdr:cNvSpPr>
      </xdr:nvSpPr>
      <xdr:spPr bwMode="auto">
        <a:xfrm>
          <a:off x="1733550" y="1992630"/>
          <a:ext cx="42672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2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( 3  ) </a:t>
          </a:r>
        </a:p>
        <a:p>
          <a:pPr algn="l" rtl="1">
            <a:lnSpc>
              <a:spcPts val="1200"/>
            </a:lnSpc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10</xdr:col>
      <xdr:colOff>47626</xdr:colOff>
      <xdr:row>7</xdr:row>
      <xdr:rowOff>74295</xdr:rowOff>
    </xdr:from>
    <xdr:to>
      <xdr:col>11</xdr:col>
      <xdr:colOff>200026</xdr:colOff>
      <xdr:row>8</xdr:row>
      <xdr:rowOff>140970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A00D32E-4ECB-46BC-B20A-938FD9DC53CE}"/>
            </a:ext>
          </a:extLst>
        </xdr:cNvPr>
        <xdr:cNvSpPr txBox="1">
          <a:spLocks noChangeArrowheads="1"/>
        </xdr:cNvSpPr>
      </xdr:nvSpPr>
      <xdr:spPr bwMode="auto">
        <a:xfrm>
          <a:off x="3038476" y="2007870"/>
          <a:ext cx="361950" cy="2762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lnSpc>
              <a:spcPts val="1300"/>
            </a:lnSpc>
            <a:defRPr sz="1000"/>
          </a:pPr>
          <a:r>
            <a: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( 5  )</a:t>
          </a:r>
        </a:p>
        <a:p>
          <a:pPr algn="l" rtl="1"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l" rtl="1">
            <a:lnSpc>
              <a:spcPts val="1200"/>
            </a:lnSpc>
            <a:defRPr sz="1000"/>
          </a:pPr>
          <a:endParaRPr lang="en-US" altLang="zh-TW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J10"/>
  <sheetViews>
    <sheetView workbookViewId="0">
      <selection activeCell="C3" sqref="C3"/>
    </sheetView>
  </sheetViews>
  <sheetFormatPr defaultRowHeight="15" x14ac:dyDescent="0.25"/>
  <cols>
    <col min="1" max="1" width="10.42578125" style="1" customWidth="1"/>
    <col min="2" max="2" width="5.7109375" style="1" customWidth="1"/>
    <col min="3" max="3" width="9.140625" style="1"/>
    <col min="4" max="4" width="7.140625" style="1" customWidth="1"/>
    <col min="5" max="5" width="12.28515625" style="1" customWidth="1"/>
    <col min="6" max="6" width="11.85546875" style="1" bestFit="1" customWidth="1"/>
    <col min="7" max="7" width="40.5703125" style="1" customWidth="1"/>
    <col min="8" max="8" width="39.7109375" style="1" customWidth="1"/>
    <col min="9" max="10" width="16.7109375" bestFit="1" customWidth="1"/>
    <col min="11" max="11" width="14" customWidth="1"/>
    <col min="13" max="13" width="14.140625" customWidth="1"/>
  </cols>
  <sheetData>
    <row r="1" spans="1:10" ht="19.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10" x14ac:dyDescent="0.25">
      <c r="A2" s="23" t="s">
        <v>91</v>
      </c>
      <c r="B2" s="23" t="s">
        <v>92</v>
      </c>
      <c r="C2" s="23" t="s">
        <v>93</v>
      </c>
      <c r="D2" s="23" t="s">
        <v>94</v>
      </c>
      <c r="E2" s="23" t="s">
        <v>95</v>
      </c>
      <c r="F2" s="23" t="s">
        <v>96</v>
      </c>
      <c r="G2" s="23" t="s">
        <v>97</v>
      </c>
      <c r="H2" s="23" t="s">
        <v>98</v>
      </c>
      <c r="I2" s="23" t="s">
        <v>99</v>
      </c>
      <c r="J2" s="23" t="s">
        <v>100</v>
      </c>
    </row>
    <row r="3" spans="1:10" x14ac:dyDescent="0.25">
      <c r="A3" s="24" t="s">
        <v>101</v>
      </c>
      <c r="B3" s="23">
        <v>5</v>
      </c>
      <c r="C3" s="23" t="s">
        <v>102</v>
      </c>
      <c r="D3" s="23" t="s">
        <v>80</v>
      </c>
      <c r="E3" s="23" t="s">
        <v>103</v>
      </c>
      <c r="F3" s="25">
        <v>42878</v>
      </c>
      <c r="G3" s="23" t="s">
        <v>104</v>
      </c>
      <c r="H3" s="23" t="s">
        <v>104</v>
      </c>
      <c r="I3" s="23" t="s">
        <v>105</v>
      </c>
      <c r="J3" s="23" t="s">
        <v>106</v>
      </c>
    </row>
    <row r="4" spans="1:10" x14ac:dyDescent="0.25">
      <c r="A4" s="23" t="s">
        <v>0</v>
      </c>
      <c r="B4" s="23">
        <v>17</v>
      </c>
      <c r="C4" s="23" t="s">
        <v>107</v>
      </c>
      <c r="D4" s="23" t="s">
        <v>76</v>
      </c>
      <c r="E4" s="23" t="s">
        <v>108</v>
      </c>
      <c r="F4" s="25">
        <v>42939</v>
      </c>
      <c r="G4" s="23" t="s">
        <v>109</v>
      </c>
      <c r="H4" s="23" t="s">
        <v>110</v>
      </c>
      <c r="I4" s="23" t="s">
        <v>111</v>
      </c>
      <c r="J4" s="23" t="s">
        <v>112</v>
      </c>
    </row>
    <row r="5" spans="1:10" x14ac:dyDescent="0.25">
      <c r="A5" s="23" t="s">
        <v>1</v>
      </c>
      <c r="B5" s="23">
        <v>6</v>
      </c>
      <c r="C5" s="23" t="s">
        <v>113</v>
      </c>
      <c r="D5" s="23" t="s">
        <v>80</v>
      </c>
      <c r="E5" s="23" t="s">
        <v>114</v>
      </c>
      <c r="F5" s="25">
        <v>42512</v>
      </c>
      <c r="G5" s="23"/>
      <c r="H5" s="23" t="s">
        <v>115</v>
      </c>
      <c r="I5" s="23" t="s">
        <v>116</v>
      </c>
      <c r="J5" s="23" t="s">
        <v>116</v>
      </c>
    </row>
    <row r="6" spans="1:10" x14ac:dyDescent="0.25">
      <c r="A6" s="23" t="s">
        <v>1</v>
      </c>
      <c r="B6" s="23">
        <v>7</v>
      </c>
      <c r="C6" s="24" t="s">
        <v>127</v>
      </c>
      <c r="D6" s="23" t="s">
        <v>80</v>
      </c>
      <c r="E6" s="23" t="s">
        <v>118</v>
      </c>
      <c r="F6" s="25">
        <v>42547</v>
      </c>
      <c r="G6" s="23"/>
      <c r="H6" s="23" t="s">
        <v>119</v>
      </c>
      <c r="I6" s="23" t="s">
        <v>120</v>
      </c>
      <c r="J6" s="23" t="s">
        <v>120</v>
      </c>
    </row>
    <row r="7" spans="1:10" x14ac:dyDescent="0.25">
      <c r="A7" s="23" t="s">
        <v>2</v>
      </c>
      <c r="B7" s="23">
        <v>8</v>
      </c>
      <c r="C7" s="23" t="s">
        <v>77</v>
      </c>
      <c r="D7" s="23" t="s">
        <v>76</v>
      </c>
      <c r="E7" s="23" t="s">
        <v>81</v>
      </c>
      <c r="F7" s="25">
        <v>42192</v>
      </c>
      <c r="G7" s="23" t="s">
        <v>121</v>
      </c>
      <c r="H7" s="23" t="s">
        <v>84</v>
      </c>
      <c r="I7" s="23"/>
      <c r="J7" s="23" t="s">
        <v>88</v>
      </c>
    </row>
    <row r="8" spans="1:10" x14ac:dyDescent="0.25">
      <c r="A8" s="23" t="s">
        <v>3</v>
      </c>
      <c r="B8" s="23">
        <v>10</v>
      </c>
      <c r="C8" s="23" t="s">
        <v>78</v>
      </c>
      <c r="D8" s="23" t="s">
        <v>76</v>
      </c>
      <c r="E8" s="23" t="s">
        <v>82</v>
      </c>
      <c r="F8" s="25">
        <v>41809</v>
      </c>
      <c r="G8" s="23" t="s">
        <v>85</v>
      </c>
      <c r="H8" s="23" t="s">
        <v>85</v>
      </c>
      <c r="I8" s="23" t="s">
        <v>122</v>
      </c>
      <c r="J8" s="23" t="s">
        <v>89</v>
      </c>
    </row>
    <row r="9" spans="1:10" x14ac:dyDescent="0.25">
      <c r="A9" s="23" t="s">
        <v>6</v>
      </c>
      <c r="B9" s="23">
        <v>7</v>
      </c>
      <c r="C9" s="23" t="s">
        <v>79</v>
      </c>
      <c r="D9" s="23" t="s">
        <v>76</v>
      </c>
      <c r="E9" s="23" t="s">
        <v>83</v>
      </c>
      <c r="F9" s="25">
        <v>41288</v>
      </c>
      <c r="G9" s="23" t="s">
        <v>123</v>
      </c>
      <c r="H9" s="23" t="s">
        <v>86</v>
      </c>
      <c r="I9" s="23" t="s">
        <v>124</v>
      </c>
      <c r="J9" s="23" t="s">
        <v>125</v>
      </c>
    </row>
    <row r="10" spans="1:10" x14ac:dyDescent="0.25">
      <c r="A10" s="23" t="s">
        <v>7</v>
      </c>
      <c r="B10" s="23">
        <v>4</v>
      </c>
      <c r="C10" s="23" t="s">
        <v>4</v>
      </c>
      <c r="D10" s="23" t="s">
        <v>76</v>
      </c>
      <c r="E10" s="23" t="s">
        <v>5</v>
      </c>
      <c r="F10" s="25">
        <v>40833</v>
      </c>
      <c r="G10" s="23" t="s">
        <v>87</v>
      </c>
      <c r="H10" s="23" t="s">
        <v>87</v>
      </c>
      <c r="I10" s="23" t="s">
        <v>90</v>
      </c>
      <c r="J10" s="23" t="s">
        <v>126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>
      <selection sqref="A1:I1"/>
    </sheetView>
  </sheetViews>
  <sheetFormatPr defaultRowHeight="15" x14ac:dyDescent="0.25"/>
  <cols>
    <col min="1" max="1" width="8.5703125" customWidth="1"/>
    <col min="2" max="2" width="7.28515625" customWidth="1"/>
    <col min="3" max="3" width="6.140625" customWidth="1"/>
    <col min="4" max="4" width="11.28515625" customWidth="1"/>
    <col min="5" max="5" width="2.5703125" customWidth="1"/>
    <col min="6" max="6" width="10.28515625" customWidth="1"/>
    <col min="7" max="7" width="14.5703125" customWidth="1"/>
    <col min="8" max="8" width="5.7109375" customWidth="1"/>
    <col min="9" max="9" width="15" customWidth="1"/>
  </cols>
  <sheetData>
    <row r="1" spans="1:9" ht="57.6" customHeight="1" x14ac:dyDescent="0.25">
      <c r="A1" s="39" t="s">
        <v>129</v>
      </c>
      <c r="B1" s="39"/>
      <c r="C1" s="39"/>
      <c r="D1" s="39"/>
      <c r="E1" s="39"/>
      <c r="F1" s="39"/>
      <c r="G1" s="39"/>
      <c r="H1" s="39"/>
      <c r="I1" s="39"/>
    </row>
    <row r="2" spans="1:9" ht="21" x14ac:dyDescent="0.25">
      <c r="A2" s="3" t="s">
        <v>11</v>
      </c>
      <c r="B2" s="37" t="s">
        <v>8</v>
      </c>
      <c r="C2" s="38"/>
      <c r="D2" s="3" t="s">
        <v>9</v>
      </c>
      <c r="E2" s="37" t="s">
        <v>10</v>
      </c>
      <c r="F2" s="38"/>
      <c r="G2" s="3" t="s">
        <v>20</v>
      </c>
      <c r="H2" s="37" t="s">
        <v>22</v>
      </c>
      <c r="I2" s="38"/>
    </row>
    <row r="3" spans="1:9" ht="30" customHeight="1" x14ac:dyDescent="0.25">
      <c r="A3" s="3">
        <v>1</v>
      </c>
      <c r="B3" s="37" t="s">
        <v>0</v>
      </c>
      <c r="C3" s="38" t="s">
        <v>0</v>
      </c>
      <c r="D3" s="3">
        <v>5</v>
      </c>
      <c r="E3" s="37" t="s">
        <v>128</v>
      </c>
      <c r="F3" s="38" t="s">
        <v>102</v>
      </c>
      <c r="G3" s="3">
        <v>1000</v>
      </c>
      <c r="H3" s="37"/>
      <c r="I3" s="38"/>
    </row>
    <row r="4" spans="1:9" ht="30" customHeight="1" x14ac:dyDescent="0.25">
      <c r="A4" s="3">
        <v>2</v>
      </c>
      <c r="B4" s="37" t="s">
        <v>0</v>
      </c>
      <c r="C4" s="38" t="s">
        <v>0</v>
      </c>
      <c r="D4" s="3">
        <v>17</v>
      </c>
      <c r="E4" s="37" t="s">
        <v>107</v>
      </c>
      <c r="F4" s="38" t="s">
        <v>107</v>
      </c>
      <c r="G4" s="3">
        <v>1000</v>
      </c>
      <c r="H4" s="37"/>
      <c r="I4" s="38"/>
    </row>
    <row r="5" spans="1:9" ht="30" customHeight="1" x14ac:dyDescent="0.25">
      <c r="A5" s="3">
        <v>3</v>
      </c>
      <c r="B5" s="37" t="s">
        <v>1</v>
      </c>
      <c r="C5" s="38" t="s">
        <v>1</v>
      </c>
      <c r="D5" s="3">
        <v>6</v>
      </c>
      <c r="E5" s="37" t="s">
        <v>113</v>
      </c>
      <c r="F5" s="38" t="s">
        <v>113</v>
      </c>
      <c r="G5" s="3">
        <v>1000</v>
      </c>
      <c r="H5" s="37"/>
      <c r="I5" s="38"/>
    </row>
    <row r="6" spans="1:9" ht="30" customHeight="1" x14ac:dyDescent="0.25">
      <c r="A6" s="3">
        <v>4</v>
      </c>
      <c r="B6" s="37" t="s">
        <v>1</v>
      </c>
      <c r="C6" s="38" t="s">
        <v>1</v>
      </c>
      <c r="D6" s="3">
        <v>7</v>
      </c>
      <c r="E6" s="37" t="s">
        <v>117</v>
      </c>
      <c r="F6" s="38" t="s">
        <v>117</v>
      </c>
      <c r="G6" s="3">
        <v>1000</v>
      </c>
      <c r="H6" s="37"/>
      <c r="I6" s="38"/>
    </row>
    <row r="7" spans="1:9" ht="30" customHeight="1" x14ac:dyDescent="0.25">
      <c r="A7" s="3">
        <v>5</v>
      </c>
      <c r="B7" s="37" t="s">
        <v>2</v>
      </c>
      <c r="C7" s="38" t="s">
        <v>2</v>
      </c>
      <c r="D7" s="3">
        <v>8</v>
      </c>
      <c r="E7" s="37" t="s">
        <v>77</v>
      </c>
      <c r="F7" s="38" t="s">
        <v>77</v>
      </c>
      <c r="G7" s="3">
        <v>1000</v>
      </c>
      <c r="H7" s="37"/>
      <c r="I7" s="38"/>
    </row>
    <row r="8" spans="1:9" ht="30" customHeight="1" x14ac:dyDescent="0.25">
      <c r="A8" s="3">
        <v>6</v>
      </c>
      <c r="B8" s="37" t="s">
        <v>3</v>
      </c>
      <c r="C8" s="38" t="s">
        <v>3</v>
      </c>
      <c r="D8" s="3">
        <v>10</v>
      </c>
      <c r="E8" s="37" t="s">
        <v>78</v>
      </c>
      <c r="F8" s="38" t="s">
        <v>78</v>
      </c>
      <c r="G8" s="3">
        <v>1000</v>
      </c>
      <c r="H8" s="37"/>
      <c r="I8" s="38"/>
    </row>
    <row r="9" spans="1:9" ht="30" customHeight="1" x14ac:dyDescent="0.25">
      <c r="A9" s="3">
        <v>7</v>
      </c>
      <c r="B9" s="37" t="s">
        <v>6</v>
      </c>
      <c r="C9" s="38" t="s">
        <v>6</v>
      </c>
      <c r="D9" s="3">
        <v>7</v>
      </c>
      <c r="E9" s="37" t="s">
        <v>79</v>
      </c>
      <c r="F9" s="38" t="s">
        <v>79</v>
      </c>
      <c r="G9" s="3">
        <v>1000</v>
      </c>
      <c r="H9" s="37"/>
      <c r="I9" s="38"/>
    </row>
    <row r="10" spans="1:9" ht="30" customHeight="1" x14ac:dyDescent="0.25">
      <c r="A10" s="3">
        <v>8</v>
      </c>
      <c r="B10" s="37" t="s">
        <v>7</v>
      </c>
      <c r="C10" s="38" t="s">
        <v>7</v>
      </c>
      <c r="D10" s="3">
        <v>4</v>
      </c>
      <c r="E10" s="37" t="s">
        <v>4</v>
      </c>
      <c r="F10" s="38" t="s">
        <v>4</v>
      </c>
      <c r="G10" s="3">
        <v>1000</v>
      </c>
      <c r="H10" s="37"/>
      <c r="I10" s="38"/>
    </row>
    <row r="11" spans="1:9" ht="21" x14ac:dyDescent="0.25">
      <c r="A11" s="4"/>
      <c r="B11" s="4"/>
      <c r="C11" s="4"/>
      <c r="D11" s="4"/>
      <c r="E11" s="4"/>
      <c r="F11" s="4"/>
      <c r="G11" s="4"/>
      <c r="H11" s="4"/>
    </row>
    <row r="12" spans="1:9" ht="15.75" x14ac:dyDescent="0.25">
      <c r="A12" s="5" t="s">
        <v>23</v>
      </c>
      <c r="B12" s="5"/>
      <c r="C12" s="5" t="s">
        <v>24</v>
      </c>
      <c r="D12" s="6"/>
      <c r="E12" s="5"/>
      <c r="F12" s="7" t="s">
        <v>25</v>
      </c>
      <c r="G12" s="6"/>
      <c r="H12" s="5" t="s">
        <v>21</v>
      </c>
      <c r="I12" s="6"/>
    </row>
  </sheetData>
  <mergeCells count="28">
    <mergeCell ref="B10:C10"/>
    <mergeCell ref="H2:I2"/>
    <mergeCell ref="H3:I3"/>
    <mergeCell ref="H4:I4"/>
    <mergeCell ref="H5:I5"/>
    <mergeCell ref="H6:I6"/>
    <mergeCell ref="H8:I8"/>
    <mergeCell ref="H9:I9"/>
    <mergeCell ref="H10:I10"/>
    <mergeCell ref="E7:F7"/>
    <mergeCell ref="E8:F8"/>
    <mergeCell ref="E9:F9"/>
    <mergeCell ref="E10:F10"/>
    <mergeCell ref="H7:I7"/>
    <mergeCell ref="E6:F6"/>
    <mergeCell ref="B6:C6"/>
    <mergeCell ref="B7:C7"/>
    <mergeCell ref="B8:C8"/>
    <mergeCell ref="B9:C9"/>
    <mergeCell ref="A1:I1"/>
    <mergeCell ref="B2:C2"/>
    <mergeCell ref="B3:C3"/>
    <mergeCell ref="B4:C4"/>
    <mergeCell ref="B5:C5"/>
    <mergeCell ref="E2:F2"/>
    <mergeCell ref="E3:F3"/>
    <mergeCell ref="E4:F4"/>
    <mergeCell ref="E5:F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workbookViewId="0">
      <selection activeCell="R11" sqref="R11"/>
    </sheetView>
  </sheetViews>
  <sheetFormatPr defaultRowHeight="15" x14ac:dyDescent="0.25"/>
  <cols>
    <col min="1" max="1" width="9" customWidth="1"/>
    <col min="2" max="2" width="5.85546875" customWidth="1"/>
    <col min="3" max="3" width="6.7109375" customWidth="1"/>
    <col min="4" max="4" width="4.42578125" customWidth="1"/>
    <col min="5" max="12" width="3.140625" customWidth="1"/>
    <col min="13" max="13" width="5.28515625" customWidth="1"/>
    <col min="14" max="14" width="8" customWidth="1"/>
    <col min="15" max="15" width="3.7109375" customWidth="1"/>
    <col min="16" max="16" width="17.28515625" customWidth="1"/>
  </cols>
  <sheetData>
    <row r="1" spans="1:16" ht="25.5" x14ac:dyDescent="0.25">
      <c r="A1" s="21"/>
      <c r="B1" s="21"/>
      <c r="C1" s="40" t="s">
        <v>26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21"/>
      <c r="P1" s="21"/>
    </row>
    <row r="2" spans="1:16" ht="21.75" thickBot="1" x14ac:dyDescent="0.3">
      <c r="A2" s="21"/>
      <c r="B2" s="21"/>
      <c r="C2" s="41" t="s">
        <v>27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21"/>
      <c r="P2" s="21"/>
    </row>
    <row r="3" spans="1:16" ht="16.5" x14ac:dyDescent="0.25">
      <c r="A3" s="42" t="s">
        <v>28</v>
      </c>
      <c r="B3" s="44" t="s">
        <v>29</v>
      </c>
      <c r="C3" s="44"/>
      <c r="D3" s="44"/>
      <c r="E3" s="44" t="s">
        <v>30</v>
      </c>
      <c r="F3" s="44"/>
      <c r="G3" s="44"/>
      <c r="H3" s="44"/>
      <c r="I3" s="44"/>
      <c r="J3" s="44"/>
      <c r="K3" s="44"/>
      <c r="L3" s="44"/>
      <c r="M3" s="44" t="s">
        <v>31</v>
      </c>
      <c r="N3" s="44"/>
      <c r="O3" s="44"/>
      <c r="P3" s="46"/>
    </row>
    <row r="4" spans="1:16" ht="33" x14ac:dyDescent="0.25">
      <c r="A4" s="43"/>
      <c r="B4" s="45"/>
      <c r="C4" s="45"/>
      <c r="D4" s="45"/>
      <c r="E4" s="22" t="s">
        <v>32</v>
      </c>
      <c r="F4" s="22" t="s">
        <v>33</v>
      </c>
      <c r="G4" s="22" t="s">
        <v>34</v>
      </c>
      <c r="H4" s="22" t="s">
        <v>35</v>
      </c>
      <c r="I4" s="22" t="s">
        <v>36</v>
      </c>
      <c r="J4" s="22" t="s">
        <v>37</v>
      </c>
      <c r="K4" s="22" t="s">
        <v>38</v>
      </c>
      <c r="L4" s="22" t="s">
        <v>39</v>
      </c>
      <c r="M4" s="47" t="s">
        <v>130</v>
      </c>
      <c r="N4" s="48"/>
      <c r="O4" s="48"/>
      <c r="P4" s="49"/>
    </row>
    <row r="5" spans="1:16" ht="16.5" x14ac:dyDescent="0.25">
      <c r="A5" s="53" t="s">
        <v>40</v>
      </c>
      <c r="B5" s="45" t="s">
        <v>41</v>
      </c>
      <c r="C5" s="45"/>
      <c r="D5" s="45"/>
      <c r="E5" s="56"/>
      <c r="F5" s="69"/>
      <c r="G5" s="11"/>
      <c r="H5" s="11"/>
      <c r="I5" s="11"/>
      <c r="J5" s="70">
        <v>0</v>
      </c>
      <c r="K5" s="56">
        <v>0</v>
      </c>
      <c r="L5" s="56">
        <v>0</v>
      </c>
      <c r="M5" s="50"/>
      <c r="N5" s="51"/>
      <c r="O5" s="51"/>
      <c r="P5" s="52"/>
    </row>
    <row r="6" spans="1:16" ht="19.5" x14ac:dyDescent="0.25">
      <c r="A6" s="54"/>
      <c r="B6" s="45"/>
      <c r="C6" s="45"/>
      <c r="D6" s="45"/>
      <c r="E6" s="56"/>
      <c r="F6" s="69"/>
      <c r="G6" s="12" t="s">
        <v>42</v>
      </c>
      <c r="H6" s="9"/>
      <c r="I6" s="13">
        <v>8</v>
      </c>
      <c r="J6" s="70"/>
      <c r="K6" s="56"/>
      <c r="L6" s="56"/>
      <c r="M6" s="71" t="s">
        <v>43</v>
      </c>
      <c r="N6" s="72"/>
      <c r="O6" s="17" t="s">
        <v>45</v>
      </c>
      <c r="P6" s="14" t="s">
        <v>44</v>
      </c>
    </row>
    <row r="7" spans="1:16" ht="19.5" x14ac:dyDescent="0.25">
      <c r="A7" s="55"/>
      <c r="B7" s="45"/>
      <c r="C7" s="75"/>
      <c r="D7" s="75"/>
      <c r="E7" s="56"/>
      <c r="F7" s="69"/>
      <c r="G7" s="15"/>
      <c r="H7" s="16"/>
      <c r="I7" s="15"/>
      <c r="J7" s="70"/>
      <c r="K7" s="56"/>
      <c r="L7" s="56"/>
      <c r="M7" s="73"/>
      <c r="N7" s="74"/>
      <c r="O7" s="17" t="s">
        <v>131</v>
      </c>
      <c r="P7" s="14" t="s">
        <v>46</v>
      </c>
    </row>
    <row r="8" spans="1:16" ht="16.5" x14ac:dyDescent="0.25">
      <c r="A8" s="43" t="s">
        <v>47</v>
      </c>
      <c r="B8" s="57"/>
      <c r="C8" s="58" t="s">
        <v>48</v>
      </c>
      <c r="D8" s="59"/>
      <c r="E8" s="59"/>
      <c r="F8" s="59"/>
      <c r="G8" s="58" t="s">
        <v>49</v>
      </c>
      <c r="H8" s="59"/>
      <c r="I8" s="59"/>
      <c r="J8" s="59"/>
      <c r="K8" s="59"/>
      <c r="L8" s="60"/>
      <c r="M8" s="61" t="s">
        <v>50</v>
      </c>
      <c r="N8" s="45"/>
      <c r="O8" s="62" t="s">
        <v>132</v>
      </c>
      <c r="P8" s="64" t="s">
        <v>134</v>
      </c>
    </row>
    <row r="9" spans="1:16" ht="16.5" x14ac:dyDescent="0.25">
      <c r="A9" s="43"/>
      <c r="B9" s="57"/>
      <c r="C9" s="66" t="s">
        <v>51</v>
      </c>
      <c r="D9" s="67"/>
      <c r="E9" s="67"/>
      <c r="F9" s="67"/>
      <c r="G9" s="66" t="s">
        <v>52</v>
      </c>
      <c r="H9" s="67"/>
      <c r="I9" s="67"/>
      <c r="J9" s="67"/>
      <c r="K9" s="67"/>
      <c r="L9" s="68"/>
      <c r="M9" s="61"/>
      <c r="N9" s="45"/>
      <c r="O9" s="63"/>
      <c r="P9" s="65"/>
    </row>
    <row r="10" spans="1:16" ht="26.45" customHeight="1" x14ac:dyDescent="0.25">
      <c r="A10" s="43" t="s">
        <v>53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 t="s">
        <v>54</v>
      </c>
      <c r="P10" s="81"/>
    </row>
    <row r="11" spans="1:16" ht="16.5" x14ac:dyDescent="0.25">
      <c r="A11" s="43" t="s">
        <v>55</v>
      </c>
      <c r="B11" s="45"/>
      <c r="C11" s="45" t="s">
        <v>56</v>
      </c>
      <c r="D11" s="45"/>
      <c r="E11" s="45"/>
      <c r="F11" s="45"/>
      <c r="G11" s="45" t="s">
        <v>57</v>
      </c>
      <c r="H11" s="45"/>
      <c r="I11" s="45"/>
      <c r="J11" s="45"/>
      <c r="K11" s="45"/>
      <c r="L11" s="45"/>
      <c r="M11" s="45"/>
      <c r="N11" s="45"/>
      <c r="O11" s="45"/>
      <c r="P11" s="82"/>
    </row>
    <row r="12" spans="1:16" ht="25.15" customHeight="1" x14ac:dyDescent="0.25">
      <c r="A12" s="84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83"/>
    </row>
    <row r="13" spans="1:16" x14ac:dyDescent="0.25">
      <c r="A13" s="77" t="s">
        <v>58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</row>
    <row r="14" spans="1:16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19.5" x14ac:dyDescent="0.25">
      <c r="A15" s="79" t="s">
        <v>59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</row>
    <row r="16" spans="1:16" ht="17.25" thickBot="1" x14ac:dyDescent="0.3">
      <c r="A16" s="80" t="s">
        <v>133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</row>
    <row r="17" spans="1:16" ht="16.5" x14ac:dyDescent="0.25">
      <c r="A17" s="85" t="s">
        <v>60</v>
      </c>
      <c r="B17" s="86"/>
      <c r="C17" s="86"/>
      <c r="D17" s="86" t="s">
        <v>61</v>
      </c>
      <c r="E17" s="86"/>
      <c r="F17" s="86"/>
      <c r="G17" s="86"/>
      <c r="H17" s="86" t="s">
        <v>62</v>
      </c>
      <c r="I17" s="86"/>
      <c r="J17" s="86"/>
      <c r="K17" s="86" t="s">
        <v>63</v>
      </c>
      <c r="L17" s="86"/>
      <c r="M17" s="86"/>
      <c r="N17" s="86" t="s">
        <v>64</v>
      </c>
      <c r="O17" s="86"/>
      <c r="P17" s="18" t="s">
        <v>65</v>
      </c>
    </row>
    <row r="18" spans="1:16" ht="21" x14ac:dyDescent="0.25">
      <c r="A18" s="37" t="str">
        <f>'112-1印領清冊'!E3</f>
        <v>朱德偉</v>
      </c>
      <c r="B18" s="87"/>
      <c r="C18" s="38"/>
      <c r="D18" s="88"/>
      <c r="E18" s="88"/>
      <c r="F18" s="88"/>
      <c r="G18" s="88"/>
      <c r="H18" s="89"/>
      <c r="I18" s="90"/>
      <c r="J18" s="91"/>
      <c r="K18" s="92">
        <v>1</v>
      </c>
      <c r="L18" s="92"/>
      <c r="M18" s="92"/>
      <c r="N18" s="93">
        <v>1000</v>
      </c>
      <c r="O18" s="93"/>
      <c r="P18" s="26">
        <f>N18*K18</f>
        <v>1000</v>
      </c>
    </row>
    <row r="19" spans="1:16" ht="21" x14ac:dyDescent="0.25">
      <c r="A19" s="37" t="str">
        <f>'112-1印領清冊'!E4</f>
        <v>廖盈穎</v>
      </c>
      <c r="B19" s="87"/>
      <c r="C19" s="38"/>
      <c r="D19" s="92"/>
      <c r="E19" s="92"/>
      <c r="F19" s="92"/>
      <c r="G19" s="92"/>
      <c r="H19" s="89"/>
      <c r="I19" s="90"/>
      <c r="J19" s="91"/>
      <c r="K19" s="92">
        <v>1</v>
      </c>
      <c r="L19" s="92"/>
      <c r="M19" s="92"/>
      <c r="N19" s="93">
        <v>1000</v>
      </c>
      <c r="O19" s="93"/>
      <c r="P19" s="26">
        <f t="shared" ref="P19:P25" si="0">N19*K19</f>
        <v>1000</v>
      </c>
    </row>
    <row r="20" spans="1:16" ht="21" x14ac:dyDescent="0.25">
      <c r="A20" s="37" t="str">
        <f>'112-1印領清冊'!E5</f>
        <v>吳柏諺</v>
      </c>
      <c r="B20" s="87"/>
      <c r="C20" s="38"/>
      <c r="D20" s="89"/>
      <c r="E20" s="90"/>
      <c r="F20" s="90"/>
      <c r="G20" s="91"/>
      <c r="H20" s="89"/>
      <c r="I20" s="90"/>
      <c r="J20" s="91"/>
      <c r="K20" s="92">
        <v>1</v>
      </c>
      <c r="L20" s="92"/>
      <c r="M20" s="92"/>
      <c r="N20" s="93">
        <v>1000</v>
      </c>
      <c r="O20" s="93"/>
      <c r="P20" s="26">
        <f t="shared" si="0"/>
        <v>1000</v>
      </c>
    </row>
    <row r="21" spans="1:16" ht="21" x14ac:dyDescent="0.25">
      <c r="A21" s="37" t="str">
        <f>'112-1印領清冊'!E6</f>
        <v>范品睿</v>
      </c>
      <c r="B21" s="87"/>
      <c r="C21" s="38"/>
      <c r="D21" s="92"/>
      <c r="E21" s="92"/>
      <c r="F21" s="92"/>
      <c r="G21" s="92"/>
      <c r="H21" s="89"/>
      <c r="I21" s="90"/>
      <c r="J21" s="91"/>
      <c r="K21" s="92">
        <v>1</v>
      </c>
      <c r="L21" s="92"/>
      <c r="M21" s="92"/>
      <c r="N21" s="93">
        <v>1000</v>
      </c>
      <c r="O21" s="93"/>
      <c r="P21" s="26">
        <f t="shared" si="0"/>
        <v>1000</v>
      </c>
    </row>
    <row r="22" spans="1:16" ht="21" x14ac:dyDescent="0.25">
      <c r="A22" s="37" t="str">
        <f>'112-1印領清冊'!E7</f>
        <v>林芯卉</v>
      </c>
      <c r="B22" s="87"/>
      <c r="C22" s="38"/>
      <c r="D22" s="89"/>
      <c r="E22" s="90"/>
      <c r="F22" s="90"/>
      <c r="G22" s="91"/>
      <c r="H22" s="89"/>
      <c r="I22" s="90"/>
      <c r="J22" s="91"/>
      <c r="K22" s="92">
        <v>1</v>
      </c>
      <c r="L22" s="92"/>
      <c r="M22" s="92"/>
      <c r="N22" s="93">
        <v>1000</v>
      </c>
      <c r="O22" s="93"/>
      <c r="P22" s="26">
        <f t="shared" si="0"/>
        <v>1000</v>
      </c>
    </row>
    <row r="23" spans="1:16" ht="21" x14ac:dyDescent="0.25">
      <c r="A23" s="37" t="str">
        <f>'112-1印領清冊'!E8</f>
        <v>劉芸亘</v>
      </c>
      <c r="B23" s="87"/>
      <c r="C23" s="38"/>
      <c r="D23" s="89"/>
      <c r="E23" s="90"/>
      <c r="F23" s="90"/>
      <c r="G23" s="91"/>
      <c r="H23" s="89"/>
      <c r="I23" s="90"/>
      <c r="J23" s="91"/>
      <c r="K23" s="92">
        <v>1</v>
      </c>
      <c r="L23" s="92"/>
      <c r="M23" s="92"/>
      <c r="N23" s="93">
        <v>1000</v>
      </c>
      <c r="O23" s="93"/>
      <c r="P23" s="26">
        <f t="shared" si="0"/>
        <v>1000</v>
      </c>
    </row>
    <row r="24" spans="1:16" ht="21" x14ac:dyDescent="0.25">
      <c r="A24" s="37" t="str">
        <f>'112-1印領清冊'!E9</f>
        <v>劉芮彤</v>
      </c>
      <c r="B24" s="87"/>
      <c r="C24" s="38"/>
      <c r="D24" s="89"/>
      <c r="E24" s="90"/>
      <c r="F24" s="90"/>
      <c r="G24" s="91"/>
      <c r="H24" s="89"/>
      <c r="I24" s="90"/>
      <c r="J24" s="91"/>
      <c r="K24" s="92">
        <v>1</v>
      </c>
      <c r="L24" s="92"/>
      <c r="M24" s="92"/>
      <c r="N24" s="93">
        <v>1000</v>
      </c>
      <c r="O24" s="93"/>
      <c r="P24" s="26">
        <f t="shared" si="0"/>
        <v>1000</v>
      </c>
    </row>
    <row r="25" spans="1:16" ht="21.75" thickBot="1" x14ac:dyDescent="0.3">
      <c r="A25" s="94" t="str">
        <f>'112-1印領清冊'!E10</f>
        <v>詹可微</v>
      </c>
      <c r="B25" s="95"/>
      <c r="C25" s="96"/>
      <c r="D25" s="89"/>
      <c r="E25" s="90"/>
      <c r="F25" s="90"/>
      <c r="G25" s="91"/>
      <c r="H25" s="89"/>
      <c r="I25" s="90"/>
      <c r="J25" s="91"/>
      <c r="K25" s="92">
        <v>1</v>
      </c>
      <c r="L25" s="92"/>
      <c r="M25" s="92"/>
      <c r="N25" s="93">
        <v>1000</v>
      </c>
      <c r="O25" s="93"/>
      <c r="P25" s="26">
        <f t="shared" si="0"/>
        <v>1000</v>
      </c>
    </row>
    <row r="26" spans="1:16" ht="20.25" thickBot="1" x14ac:dyDescent="0.3">
      <c r="A26" s="97" t="s">
        <v>66</v>
      </c>
      <c r="B26" s="98"/>
      <c r="C26" s="99"/>
      <c r="D26" s="100"/>
      <c r="E26" s="98"/>
      <c r="F26" s="98"/>
      <c r="G26" s="99"/>
      <c r="H26" s="100"/>
      <c r="I26" s="98"/>
      <c r="J26" s="99"/>
      <c r="K26" s="100"/>
      <c r="L26" s="98"/>
      <c r="M26" s="99"/>
      <c r="N26" s="101"/>
      <c r="O26" s="102"/>
      <c r="P26" s="19">
        <f>SUM(P18:P25)</f>
        <v>8000</v>
      </c>
    </row>
    <row r="27" spans="1:16" ht="16.5" x14ac:dyDescent="0.25">
      <c r="A27" s="85" t="s">
        <v>67</v>
      </c>
      <c r="B27" s="86"/>
      <c r="C27" s="86"/>
      <c r="D27" s="113" t="s">
        <v>68</v>
      </c>
      <c r="E27" s="114"/>
      <c r="F27" s="114"/>
      <c r="G27" s="114"/>
      <c r="H27" s="114"/>
      <c r="I27" s="114"/>
      <c r="J27" s="114"/>
      <c r="K27" s="115" t="s">
        <v>69</v>
      </c>
      <c r="L27" s="116"/>
      <c r="M27" s="116"/>
      <c r="N27" s="117"/>
      <c r="O27" s="113" t="s">
        <v>70</v>
      </c>
      <c r="P27" s="118"/>
    </row>
    <row r="28" spans="1:16" ht="29.45" customHeight="1" x14ac:dyDescent="0.25">
      <c r="A28" s="119"/>
      <c r="B28" s="120"/>
      <c r="C28" s="120"/>
      <c r="D28" s="121"/>
      <c r="E28" s="122"/>
      <c r="F28" s="122"/>
      <c r="G28" s="122"/>
      <c r="H28" s="122"/>
      <c r="I28" s="122"/>
      <c r="J28" s="122"/>
      <c r="K28" s="121"/>
      <c r="L28" s="122"/>
      <c r="M28" s="122"/>
      <c r="N28" s="123"/>
      <c r="O28" s="122"/>
      <c r="P28" s="124"/>
    </row>
    <row r="29" spans="1:16" ht="16.5" x14ac:dyDescent="0.25">
      <c r="A29" s="119" t="s">
        <v>71</v>
      </c>
      <c r="B29" s="120"/>
      <c r="C29" s="120"/>
      <c r="D29" s="121" t="s">
        <v>72</v>
      </c>
      <c r="E29" s="122"/>
      <c r="F29" s="122"/>
      <c r="G29" s="122"/>
      <c r="H29" s="122"/>
      <c r="I29" s="122"/>
      <c r="J29" s="122"/>
      <c r="K29" s="103"/>
      <c r="L29" s="104"/>
      <c r="M29" s="104"/>
      <c r="N29" s="105"/>
      <c r="O29" s="104"/>
      <c r="P29" s="125"/>
    </row>
    <row r="30" spans="1:16" ht="25.9" customHeight="1" thickBot="1" x14ac:dyDescent="0.3">
      <c r="A30" s="106"/>
      <c r="B30" s="107"/>
      <c r="C30" s="107"/>
      <c r="D30" s="108"/>
      <c r="E30" s="109"/>
      <c r="F30" s="109"/>
      <c r="G30" s="109"/>
      <c r="H30" s="109"/>
      <c r="I30" s="109"/>
      <c r="J30" s="109"/>
      <c r="K30" s="110"/>
      <c r="L30" s="111"/>
      <c r="M30" s="111"/>
      <c r="N30" s="112"/>
      <c r="O30" s="111"/>
      <c r="P30" s="126"/>
    </row>
    <row r="31" spans="1:16" ht="16.5" x14ac:dyDescent="0.25">
      <c r="A31" s="10" t="s">
        <v>73</v>
      </c>
      <c r="B31" s="8"/>
      <c r="C31" s="8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spans="1:16" x14ac:dyDescent="0.25">
      <c r="A32" s="10" t="s">
        <v>74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x14ac:dyDescent="0.25">
      <c r="A33" s="10" t="s">
        <v>75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</sheetData>
  <mergeCells count="105">
    <mergeCell ref="K29:N29"/>
    <mergeCell ref="A30:C30"/>
    <mergeCell ref="D30:J30"/>
    <mergeCell ref="K30:N30"/>
    <mergeCell ref="A27:C27"/>
    <mergeCell ref="D27:J27"/>
    <mergeCell ref="K27:N27"/>
    <mergeCell ref="O27:P27"/>
    <mergeCell ref="A28:C28"/>
    <mergeCell ref="D28:J28"/>
    <mergeCell ref="K28:N28"/>
    <mergeCell ref="O28:P30"/>
    <mergeCell ref="A29:C29"/>
    <mergeCell ref="D29:J29"/>
    <mergeCell ref="A25:C25"/>
    <mergeCell ref="D25:G25"/>
    <mergeCell ref="H25:J25"/>
    <mergeCell ref="K25:M25"/>
    <mergeCell ref="N25:O25"/>
    <mergeCell ref="A26:C26"/>
    <mergeCell ref="D26:G26"/>
    <mergeCell ref="H26:J26"/>
    <mergeCell ref="K26:M26"/>
    <mergeCell ref="N26:O26"/>
    <mergeCell ref="A23:C23"/>
    <mergeCell ref="D23:G23"/>
    <mergeCell ref="H23:J23"/>
    <mergeCell ref="K23:M23"/>
    <mergeCell ref="N23:O23"/>
    <mergeCell ref="A24:C24"/>
    <mergeCell ref="D24:G24"/>
    <mergeCell ref="H24:J24"/>
    <mergeCell ref="K24:M24"/>
    <mergeCell ref="N24:O24"/>
    <mergeCell ref="A21:C21"/>
    <mergeCell ref="D21:G21"/>
    <mergeCell ref="H21:J21"/>
    <mergeCell ref="K21:M21"/>
    <mergeCell ref="N21:O21"/>
    <mergeCell ref="A22:C22"/>
    <mergeCell ref="D22:G22"/>
    <mergeCell ref="H22:J22"/>
    <mergeCell ref="K22:M22"/>
    <mergeCell ref="N22:O22"/>
    <mergeCell ref="A19:C19"/>
    <mergeCell ref="D19:G19"/>
    <mergeCell ref="H19:J19"/>
    <mergeCell ref="K19:M19"/>
    <mergeCell ref="N19:O19"/>
    <mergeCell ref="A20:C20"/>
    <mergeCell ref="D20:G20"/>
    <mergeCell ref="H20:J20"/>
    <mergeCell ref="K20:M20"/>
    <mergeCell ref="N20:O20"/>
    <mergeCell ref="A17:C17"/>
    <mergeCell ref="D17:G17"/>
    <mergeCell ref="H17:J17"/>
    <mergeCell ref="K17:M17"/>
    <mergeCell ref="N17:O17"/>
    <mergeCell ref="A18:C18"/>
    <mergeCell ref="D18:G18"/>
    <mergeCell ref="H18:J18"/>
    <mergeCell ref="K18:M18"/>
    <mergeCell ref="N18:O18"/>
    <mergeCell ref="C12:F12"/>
    <mergeCell ref="G12:L12"/>
    <mergeCell ref="A13:P13"/>
    <mergeCell ref="A14:P14"/>
    <mergeCell ref="A15:P15"/>
    <mergeCell ref="A16:P16"/>
    <mergeCell ref="A10:B10"/>
    <mergeCell ref="C10:F10"/>
    <mergeCell ref="G10:L10"/>
    <mergeCell ref="M10:N12"/>
    <mergeCell ref="O10:O12"/>
    <mergeCell ref="P10:P12"/>
    <mergeCell ref="A11:B11"/>
    <mergeCell ref="C11:F11"/>
    <mergeCell ref="G11:L11"/>
    <mergeCell ref="A12:B12"/>
    <mergeCell ref="A8:B9"/>
    <mergeCell ref="C8:F8"/>
    <mergeCell ref="G8:L8"/>
    <mergeCell ref="M8:N9"/>
    <mergeCell ref="O8:O9"/>
    <mergeCell ref="P8:P9"/>
    <mergeCell ref="C9:F9"/>
    <mergeCell ref="G9:L9"/>
    <mergeCell ref="F5:F7"/>
    <mergeCell ref="J5:J7"/>
    <mergeCell ref="K5:K7"/>
    <mergeCell ref="L5:L7"/>
    <mergeCell ref="B6:D6"/>
    <mergeCell ref="M6:N7"/>
    <mergeCell ref="B7:D7"/>
    <mergeCell ref="C1:N1"/>
    <mergeCell ref="C2:N2"/>
    <mergeCell ref="A3:A4"/>
    <mergeCell ref="B3:D4"/>
    <mergeCell ref="E3:L3"/>
    <mergeCell ref="M3:P3"/>
    <mergeCell ref="M4:P5"/>
    <mergeCell ref="A5:A7"/>
    <mergeCell ref="B5:D5"/>
    <mergeCell ref="E5:E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797E-96BC-491D-B37A-B5F62758FA45}">
  <dimension ref="A1:I12"/>
  <sheetViews>
    <sheetView workbookViewId="0">
      <selection activeCell="E10" sqref="E10:F10"/>
    </sheetView>
  </sheetViews>
  <sheetFormatPr defaultRowHeight="15" x14ac:dyDescent="0.25"/>
  <cols>
    <col min="1" max="1" width="8.5703125" customWidth="1"/>
    <col min="2" max="2" width="7.28515625" customWidth="1"/>
    <col min="3" max="3" width="6.140625" customWidth="1"/>
    <col min="4" max="4" width="11.28515625" customWidth="1"/>
    <col min="5" max="5" width="2.5703125" customWidth="1"/>
    <col min="6" max="6" width="10.28515625" customWidth="1"/>
    <col min="7" max="7" width="14.5703125" customWidth="1"/>
    <col min="8" max="8" width="5.7109375" customWidth="1"/>
    <col min="9" max="9" width="15" customWidth="1"/>
  </cols>
  <sheetData>
    <row r="1" spans="1:9" ht="57.6" customHeight="1" x14ac:dyDescent="0.25">
      <c r="A1" s="39" t="s">
        <v>135</v>
      </c>
      <c r="B1" s="39"/>
      <c r="C1" s="39"/>
      <c r="D1" s="39"/>
      <c r="E1" s="39"/>
      <c r="F1" s="39"/>
      <c r="G1" s="39"/>
      <c r="H1" s="39"/>
      <c r="I1" s="39"/>
    </row>
    <row r="2" spans="1:9" ht="21" x14ac:dyDescent="0.25">
      <c r="A2" s="3" t="s">
        <v>11</v>
      </c>
      <c r="B2" s="37" t="s">
        <v>8</v>
      </c>
      <c r="C2" s="38"/>
      <c r="D2" s="3" t="s">
        <v>9</v>
      </c>
      <c r="E2" s="37" t="s">
        <v>10</v>
      </c>
      <c r="F2" s="38"/>
      <c r="G2" s="3" t="s">
        <v>20</v>
      </c>
      <c r="H2" s="37" t="s">
        <v>22</v>
      </c>
      <c r="I2" s="38"/>
    </row>
    <row r="3" spans="1:9" ht="30" customHeight="1" x14ac:dyDescent="0.25">
      <c r="A3" s="3">
        <v>1</v>
      </c>
      <c r="B3" s="37" t="s">
        <v>0</v>
      </c>
      <c r="C3" s="38" t="s">
        <v>0</v>
      </c>
      <c r="D3" s="3">
        <v>5</v>
      </c>
      <c r="E3" s="37" t="s">
        <v>128</v>
      </c>
      <c r="F3" s="38" t="s">
        <v>102</v>
      </c>
      <c r="G3" s="3">
        <v>1000</v>
      </c>
      <c r="H3" s="37"/>
      <c r="I3" s="38"/>
    </row>
    <row r="4" spans="1:9" ht="30" customHeight="1" x14ac:dyDescent="0.25">
      <c r="A4" s="3">
        <v>2</v>
      </c>
      <c r="B4" s="37" t="s">
        <v>0</v>
      </c>
      <c r="C4" s="38" t="s">
        <v>0</v>
      </c>
      <c r="D4" s="3">
        <v>7</v>
      </c>
      <c r="E4" s="37" t="s">
        <v>136</v>
      </c>
      <c r="F4" s="38"/>
      <c r="G4" s="3">
        <v>1000</v>
      </c>
      <c r="H4" s="37"/>
      <c r="I4" s="38"/>
    </row>
    <row r="5" spans="1:9" ht="30" customHeight="1" x14ac:dyDescent="0.25">
      <c r="A5" s="3">
        <v>3</v>
      </c>
      <c r="B5" s="37" t="s">
        <v>1</v>
      </c>
      <c r="C5" s="38" t="s">
        <v>1</v>
      </c>
      <c r="D5" s="3">
        <v>6</v>
      </c>
      <c r="E5" s="37" t="s">
        <v>113</v>
      </c>
      <c r="F5" s="38" t="s">
        <v>113</v>
      </c>
      <c r="G5" s="3">
        <v>1000</v>
      </c>
      <c r="H5" s="37"/>
      <c r="I5" s="38"/>
    </row>
    <row r="6" spans="1:9" ht="30" customHeight="1" x14ac:dyDescent="0.25">
      <c r="A6" s="3">
        <v>4</v>
      </c>
      <c r="B6" s="37" t="s">
        <v>1</v>
      </c>
      <c r="C6" s="38" t="s">
        <v>1</v>
      </c>
      <c r="D6" s="3">
        <v>7</v>
      </c>
      <c r="E6" s="37" t="s">
        <v>117</v>
      </c>
      <c r="F6" s="38" t="s">
        <v>117</v>
      </c>
      <c r="G6" s="3">
        <v>1000</v>
      </c>
      <c r="H6" s="37"/>
      <c r="I6" s="38"/>
    </row>
    <row r="7" spans="1:9" ht="30" customHeight="1" x14ac:dyDescent="0.25">
      <c r="A7" s="3">
        <v>5</v>
      </c>
      <c r="B7" s="37" t="s">
        <v>2</v>
      </c>
      <c r="C7" s="38" t="s">
        <v>2</v>
      </c>
      <c r="D7" s="3">
        <v>4</v>
      </c>
      <c r="E7" s="37" t="s">
        <v>137</v>
      </c>
      <c r="F7" s="38"/>
      <c r="G7" s="3">
        <v>1000</v>
      </c>
      <c r="H7" s="37"/>
      <c r="I7" s="38"/>
    </row>
    <row r="8" spans="1:9" ht="30" customHeight="1" x14ac:dyDescent="0.25">
      <c r="A8" s="3">
        <v>6</v>
      </c>
      <c r="B8" s="37" t="s">
        <v>3</v>
      </c>
      <c r="C8" s="38" t="s">
        <v>3</v>
      </c>
      <c r="D8" s="3">
        <v>10</v>
      </c>
      <c r="E8" s="37" t="s">
        <v>78</v>
      </c>
      <c r="F8" s="38" t="s">
        <v>78</v>
      </c>
      <c r="G8" s="3">
        <v>1000</v>
      </c>
      <c r="H8" s="37"/>
      <c r="I8" s="38"/>
    </row>
    <row r="9" spans="1:9" ht="30" customHeight="1" x14ac:dyDescent="0.25">
      <c r="A9" s="3">
        <v>7</v>
      </c>
      <c r="B9" s="37" t="s">
        <v>6</v>
      </c>
      <c r="C9" s="38" t="s">
        <v>6</v>
      </c>
      <c r="D9" s="3">
        <v>7</v>
      </c>
      <c r="E9" s="37" t="s">
        <v>79</v>
      </c>
      <c r="F9" s="38" t="s">
        <v>79</v>
      </c>
      <c r="G9" s="3">
        <v>1000</v>
      </c>
      <c r="H9" s="37"/>
      <c r="I9" s="38"/>
    </row>
    <row r="10" spans="1:9" ht="30" customHeight="1" x14ac:dyDescent="0.25">
      <c r="A10" s="3">
        <v>8</v>
      </c>
      <c r="B10" s="37" t="s">
        <v>7</v>
      </c>
      <c r="C10" s="38" t="s">
        <v>7</v>
      </c>
      <c r="D10" s="3">
        <v>7</v>
      </c>
      <c r="E10" s="37" t="s">
        <v>138</v>
      </c>
      <c r="F10" s="38"/>
      <c r="G10" s="3">
        <v>1000</v>
      </c>
      <c r="H10" s="37"/>
      <c r="I10" s="38"/>
    </row>
    <row r="11" spans="1:9" ht="21" x14ac:dyDescent="0.25">
      <c r="A11" s="4"/>
      <c r="B11" s="4"/>
      <c r="C11" s="4"/>
      <c r="D11" s="4"/>
      <c r="E11" s="4"/>
      <c r="F11" s="4"/>
      <c r="G11" s="4"/>
      <c r="H11" s="4"/>
    </row>
    <row r="12" spans="1:9" ht="15.75" x14ac:dyDescent="0.25">
      <c r="A12" s="5" t="s">
        <v>23</v>
      </c>
      <c r="B12" s="5"/>
      <c r="C12" s="5" t="s">
        <v>24</v>
      </c>
      <c r="D12" s="6"/>
      <c r="E12" s="5"/>
      <c r="F12" s="7" t="s">
        <v>25</v>
      </c>
      <c r="G12" s="6"/>
      <c r="H12" s="5" t="s">
        <v>21</v>
      </c>
      <c r="I12" s="6"/>
    </row>
  </sheetData>
  <mergeCells count="28">
    <mergeCell ref="B10:C10"/>
    <mergeCell ref="E10:F10"/>
    <mergeCell ref="H10:I10"/>
    <mergeCell ref="B8:C8"/>
    <mergeCell ref="E8:F8"/>
    <mergeCell ref="H8:I8"/>
    <mergeCell ref="B9:C9"/>
    <mergeCell ref="E9:F9"/>
    <mergeCell ref="H9:I9"/>
    <mergeCell ref="B6:C6"/>
    <mergeCell ref="E6:F6"/>
    <mergeCell ref="H6:I6"/>
    <mergeCell ref="B7:C7"/>
    <mergeCell ref="E7:F7"/>
    <mergeCell ref="H7:I7"/>
    <mergeCell ref="B4:C4"/>
    <mergeCell ref="E4:F4"/>
    <mergeCell ref="H4:I4"/>
    <mergeCell ref="B5:C5"/>
    <mergeCell ref="E5:F5"/>
    <mergeCell ref="H5:I5"/>
    <mergeCell ref="A1:I1"/>
    <mergeCell ref="B2:C2"/>
    <mergeCell ref="E2:F2"/>
    <mergeCell ref="H2:I2"/>
    <mergeCell ref="B3:C3"/>
    <mergeCell ref="E3:F3"/>
    <mergeCell ref="H3:I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9283-3BBA-4D06-B615-235B3381A490}">
  <dimension ref="A1:P33"/>
  <sheetViews>
    <sheetView workbookViewId="0">
      <selection activeCell="S21" sqref="S21"/>
    </sheetView>
  </sheetViews>
  <sheetFormatPr defaultRowHeight="15" x14ac:dyDescent="0.25"/>
  <cols>
    <col min="1" max="1" width="9" customWidth="1"/>
    <col min="2" max="2" width="5.85546875" customWidth="1"/>
    <col min="3" max="3" width="6.7109375" customWidth="1"/>
    <col min="4" max="4" width="4.42578125" customWidth="1"/>
    <col min="5" max="12" width="3.140625" customWidth="1"/>
    <col min="13" max="13" width="5.28515625" customWidth="1"/>
    <col min="14" max="14" width="8" customWidth="1"/>
    <col min="15" max="15" width="3.7109375" customWidth="1"/>
    <col min="16" max="16" width="17.28515625" customWidth="1"/>
  </cols>
  <sheetData>
    <row r="1" spans="1:16" ht="25.5" x14ac:dyDescent="0.25">
      <c r="A1" s="28"/>
      <c r="B1" s="28"/>
      <c r="C1" s="40" t="s">
        <v>26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28"/>
      <c r="P1" s="28"/>
    </row>
    <row r="2" spans="1:16" ht="21.75" thickBot="1" x14ac:dyDescent="0.3">
      <c r="A2" s="28"/>
      <c r="B2" s="28"/>
      <c r="C2" s="41" t="s">
        <v>27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28"/>
      <c r="P2" s="28"/>
    </row>
    <row r="3" spans="1:16" ht="16.5" x14ac:dyDescent="0.25">
      <c r="A3" s="42" t="s">
        <v>28</v>
      </c>
      <c r="B3" s="44" t="s">
        <v>29</v>
      </c>
      <c r="C3" s="44"/>
      <c r="D3" s="44"/>
      <c r="E3" s="44" t="s">
        <v>30</v>
      </c>
      <c r="F3" s="44"/>
      <c r="G3" s="44"/>
      <c r="H3" s="44"/>
      <c r="I3" s="44"/>
      <c r="J3" s="44"/>
      <c r="K3" s="44"/>
      <c r="L3" s="44"/>
      <c r="M3" s="44" t="s">
        <v>31</v>
      </c>
      <c r="N3" s="44"/>
      <c r="O3" s="44"/>
      <c r="P3" s="46"/>
    </row>
    <row r="4" spans="1:16" ht="33" x14ac:dyDescent="0.25">
      <c r="A4" s="43"/>
      <c r="B4" s="45"/>
      <c r="C4" s="45"/>
      <c r="D4" s="45"/>
      <c r="E4" s="29" t="s">
        <v>32</v>
      </c>
      <c r="F4" s="29" t="s">
        <v>33</v>
      </c>
      <c r="G4" s="29" t="s">
        <v>34</v>
      </c>
      <c r="H4" s="29" t="s">
        <v>35</v>
      </c>
      <c r="I4" s="29" t="s">
        <v>36</v>
      </c>
      <c r="J4" s="29" t="s">
        <v>37</v>
      </c>
      <c r="K4" s="29" t="s">
        <v>38</v>
      </c>
      <c r="L4" s="29" t="s">
        <v>39</v>
      </c>
      <c r="M4" s="47" t="s">
        <v>140</v>
      </c>
      <c r="N4" s="48"/>
      <c r="O4" s="48"/>
      <c r="P4" s="49"/>
    </row>
    <row r="5" spans="1:16" ht="16.5" x14ac:dyDescent="0.25">
      <c r="A5" s="53" t="s">
        <v>40</v>
      </c>
      <c r="B5" s="45" t="s">
        <v>41</v>
      </c>
      <c r="C5" s="45"/>
      <c r="D5" s="45"/>
      <c r="E5" s="56"/>
      <c r="F5" s="69"/>
      <c r="G5" s="11"/>
      <c r="H5" s="11"/>
      <c r="I5" s="11"/>
      <c r="J5" s="70">
        <v>0</v>
      </c>
      <c r="K5" s="56">
        <v>0</v>
      </c>
      <c r="L5" s="56">
        <v>0</v>
      </c>
      <c r="M5" s="50"/>
      <c r="N5" s="51"/>
      <c r="O5" s="51"/>
      <c r="P5" s="52"/>
    </row>
    <row r="6" spans="1:16" ht="19.5" x14ac:dyDescent="0.25">
      <c r="A6" s="54"/>
      <c r="B6" s="45"/>
      <c r="C6" s="45"/>
      <c r="D6" s="45"/>
      <c r="E6" s="56"/>
      <c r="F6" s="69"/>
      <c r="G6" s="12" t="s">
        <v>42</v>
      </c>
      <c r="H6" s="9"/>
      <c r="I6" s="13">
        <v>8</v>
      </c>
      <c r="J6" s="70"/>
      <c r="K6" s="56"/>
      <c r="L6" s="56"/>
      <c r="M6" s="71" t="s">
        <v>43</v>
      </c>
      <c r="N6" s="72"/>
      <c r="O6" s="17" t="s">
        <v>45</v>
      </c>
      <c r="P6" s="14" t="s">
        <v>44</v>
      </c>
    </row>
    <row r="7" spans="1:16" ht="19.5" x14ac:dyDescent="0.25">
      <c r="A7" s="55"/>
      <c r="B7" s="45"/>
      <c r="C7" s="75"/>
      <c r="D7" s="75"/>
      <c r="E7" s="56"/>
      <c r="F7" s="69"/>
      <c r="G7" s="15"/>
      <c r="H7" s="16"/>
      <c r="I7" s="15"/>
      <c r="J7" s="70"/>
      <c r="K7" s="56"/>
      <c r="L7" s="56"/>
      <c r="M7" s="73"/>
      <c r="N7" s="74"/>
      <c r="O7" s="17" t="s">
        <v>131</v>
      </c>
      <c r="P7" s="14" t="s">
        <v>46</v>
      </c>
    </row>
    <row r="8" spans="1:16" ht="16.5" x14ac:dyDescent="0.25">
      <c r="A8" s="43" t="s">
        <v>47</v>
      </c>
      <c r="B8" s="57"/>
      <c r="C8" s="58" t="s">
        <v>48</v>
      </c>
      <c r="D8" s="59"/>
      <c r="E8" s="59"/>
      <c r="F8" s="59"/>
      <c r="G8" s="58" t="s">
        <v>49</v>
      </c>
      <c r="H8" s="59"/>
      <c r="I8" s="59"/>
      <c r="J8" s="59"/>
      <c r="K8" s="59"/>
      <c r="L8" s="60"/>
      <c r="M8" s="61" t="s">
        <v>50</v>
      </c>
      <c r="N8" s="45"/>
      <c r="O8" s="62" t="s">
        <v>132</v>
      </c>
      <c r="P8" s="64" t="s">
        <v>134</v>
      </c>
    </row>
    <row r="9" spans="1:16" ht="16.5" x14ac:dyDescent="0.25">
      <c r="A9" s="43"/>
      <c r="B9" s="57"/>
      <c r="C9" s="66" t="s">
        <v>51</v>
      </c>
      <c r="D9" s="67"/>
      <c r="E9" s="67"/>
      <c r="F9" s="67"/>
      <c r="G9" s="66" t="s">
        <v>52</v>
      </c>
      <c r="H9" s="67"/>
      <c r="I9" s="67"/>
      <c r="J9" s="67"/>
      <c r="K9" s="67"/>
      <c r="L9" s="68"/>
      <c r="M9" s="61"/>
      <c r="N9" s="45"/>
      <c r="O9" s="63"/>
      <c r="P9" s="65"/>
    </row>
    <row r="10" spans="1:16" ht="26.45" customHeight="1" x14ac:dyDescent="0.25">
      <c r="A10" s="43" t="s">
        <v>53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 t="s">
        <v>54</v>
      </c>
      <c r="P10" s="81"/>
    </row>
    <row r="11" spans="1:16" ht="16.5" x14ac:dyDescent="0.25">
      <c r="A11" s="43" t="s">
        <v>55</v>
      </c>
      <c r="B11" s="45"/>
      <c r="C11" s="45" t="s">
        <v>56</v>
      </c>
      <c r="D11" s="45"/>
      <c r="E11" s="45"/>
      <c r="F11" s="45"/>
      <c r="G11" s="45" t="s">
        <v>57</v>
      </c>
      <c r="H11" s="45"/>
      <c r="I11" s="45"/>
      <c r="J11" s="45"/>
      <c r="K11" s="45"/>
      <c r="L11" s="45"/>
      <c r="M11" s="45"/>
      <c r="N11" s="45"/>
      <c r="O11" s="45"/>
      <c r="P11" s="82"/>
    </row>
    <row r="12" spans="1:16" ht="25.15" customHeight="1" x14ac:dyDescent="0.25">
      <c r="A12" s="84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83"/>
    </row>
    <row r="13" spans="1:16" x14ac:dyDescent="0.25">
      <c r="A13" s="77" t="s">
        <v>58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</row>
    <row r="14" spans="1:16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19.5" x14ac:dyDescent="0.25">
      <c r="A15" s="79" t="s">
        <v>59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</row>
    <row r="16" spans="1:16" ht="17.25" thickBot="1" x14ac:dyDescent="0.3">
      <c r="A16" s="80" t="s">
        <v>141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</row>
    <row r="17" spans="1:16" ht="16.5" x14ac:dyDescent="0.25">
      <c r="A17" s="85" t="s">
        <v>60</v>
      </c>
      <c r="B17" s="86"/>
      <c r="C17" s="86"/>
      <c r="D17" s="86" t="s">
        <v>61</v>
      </c>
      <c r="E17" s="86"/>
      <c r="F17" s="86"/>
      <c r="G17" s="86"/>
      <c r="H17" s="86" t="s">
        <v>62</v>
      </c>
      <c r="I17" s="86"/>
      <c r="J17" s="86"/>
      <c r="K17" s="86" t="s">
        <v>63</v>
      </c>
      <c r="L17" s="86"/>
      <c r="M17" s="86"/>
      <c r="N17" s="86" t="s">
        <v>64</v>
      </c>
      <c r="O17" s="86"/>
      <c r="P17" s="18" t="s">
        <v>65</v>
      </c>
    </row>
    <row r="18" spans="1:16" ht="21" x14ac:dyDescent="0.25">
      <c r="A18" s="127" t="s">
        <v>139</v>
      </c>
      <c r="B18" s="87"/>
      <c r="C18" s="38"/>
      <c r="D18" s="88"/>
      <c r="E18" s="88"/>
      <c r="F18" s="88"/>
      <c r="G18" s="88"/>
      <c r="H18" s="89"/>
      <c r="I18" s="90"/>
      <c r="J18" s="91"/>
      <c r="K18" s="92">
        <v>8</v>
      </c>
      <c r="L18" s="92"/>
      <c r="M18" s="92"/>
      <c r="N18" s="93">
        <v>1000</v>
      </c>
      <c r="O18" s="93"/>
      <c r="P18" s="26">
        <f>N18*K18</f>
        <v>8000</v>
      </c>
    </row>
    <row r="19" spans="1:16" ht="21" x14ac:dyDescent="0.25">
      <c r="A19" s="37"/>
      <c r="B19" s="87"/>
      <c r="C19" s="38"/>
      <c r="D19" s="92"/>
      <c r="E19" s="92"/>
      <c r="F19" s="92"/>
      <c r="G19" s="92"/>
      <c r="H19" s="89"/>
      <c r="I19" s="90"/>
      <c r="J19" s="91"/>
      <c r="K19" s="92"/>
      <c r="L19" s="92"/>
      <c r="M19" s="92"/>
      <c r="N19" s="93"/>
      <c r="O19" s="93"/>
      <c r="P19" s="26"/>
    </row>
    <row r="20" spans="1:16" ht="21" x14ac:dyDescent="0.25">
      <c r="A20" s="37"/>
      <c r="B20" s="87"/>
      <c r="C20" s="38"/>
      <c r="D20" s="89"/>
      <c r="E20" s="90"/>
      <c r="F20" s="90"/>
      <c r="G20" s="91"/>
      <c r="H20" s="89"/>
      <c r="I20" s="90"/>
      <c r="J20" s="91"/>
      <c r="K20" s="92"/>
      <c r="L20" s="92"/>
      <c r="M20" s="92"/>
      <c r="N20" s="93"/>
      <c r="O20" s="93"/>
      <c r="P20" s="26"/>
    </row>
    <row r="21" spans="1:16" ht="21" x14ac:dyDescent="0.25">
      <c r="A21" s="37"/>
      <c r="B21" s="87"/>
      <c r="C21" s="38"/>
      <c r="D21" s="92"/>
      <c r="E21" s="92"/>
      <c r="F21" s="92"/>
      <c r="G21" s="92"/>
      <c r="H21" s="89"/>
      <c r="I21" s="90"/>
      <c r="J21" s="91"/>
      <c r="K21" s="92"/>
      <c r="L21" s="92"/>
      <c r="M21" s="92"/>
      <c r="N21" s="93"/>
      <c r="O21" s="93"/>
      <c r="P21" s="26"/>
    </row>
    <row r="22" spans="1:16" ht="21" x14ac:dyDescent="0.25">
      <c r="A22" s="37"/>
      <c r="B22" s="87"/>
      <c r="C22" s="38"/>
      <c r="D22" s="89"/>
      <c r="E22" s="90"/>
      <c r="F22" s="90"/>
      <c r="G22" s="91"/>
      <c r="H22" s="89"/>
      <c r="I22" s="90"/>
      <c r="J22" s="91"/>
      <c r="K22" s="92"/>
      <c r="L22" s="92"/>
      <c r="M22" s="92"/>
      <c r="N22" s="93"/>
      <c r="O22" s="93"/>
      <c r="P22" s="26"/>
    </row>
    <row r="23" spans="1:16" ht="21" x14ac:dyDescent="0.25">
      <c r="A23" s="37"/>
      <c r="B23" s="87"/>
      <c r="C23" s="38"/>
      <c r="D23" s="89"/>
      <c r="E23" s="90"/>
      <c r="F23" s="90"/>
      <c r="G23" s="91"/>
      <c r="H23" s="89"/>
      <c r="I23" s="90"/>
      <c r="J23" s="91"/>
      <c r="K23" s="92"/>
      <c r="L23" s="92"/>
      <c r="M23" s="92"/>
      <c r="N23" s="93"/>
      <c r="O23" s="93"/>
      <c r="P23" s="26"/>
    </row>
    <row r="24" spans="1:16" ht="21" x14ac:dyDescent="0.25">
      <c r="A24" s="37"/>
      <c r="B24" s="87"/>
      <c r="C24" s="38"/>
      <c r="D24" s="89"/>
      <c r="E24" s="90"/>
      <c r="F24" s="90"/>
      <c r="G24" s="91"/>
      <c r="H24" s="89"/>
      <c r="I24" s="90"/>
      <c r="J24" s="91"/>
      <c r="K24" s="92"/>
      <c r="L24" s="92"/>
      <c r="M24" s="92"/>
      <c r="N24" s="93"/>
      <c r="O24" s="93"/>
      <c r="P24" s="26"/>
    </row>
    <row r="25" spans="1:16" ht="21.75" thickBot="1" x14ac:dyDescent="0.3">
      <c r="A25" s="94"/>
      <c r="B25" s="95"/>
      <c r="C25" s="96"/>
      <c r="D25" s="89"/>
      <c r="E25" s="90"/>
      <c r="F25" s="90"/>
      <c r="G25" s="91"/>
      <c r="H25" s="89"/>
      <c r="I25" s="90"/>
      <c r="J25" s="91"/>
      <c r="K25" s="92"/>
      <c r="L25" s="92"/>
      <c r="M25" s="92"/>
      <c r="N25" s="93"/>
      <c r="O25" s="93"/>
      <c r="P25" s="26"/>
    </row>
    <row r="26" spans="1:16" ht="20.25" thickBot="1" x14ac:dyDescent="0.3">
      <c r="A26" s="97" t="s">
        <v>66</v>
      </c>
      <c r="B26" s="98"/>
      <c r="C26" s="99"/>
      <c r="D26" s="100"/>
      <c r="E26" s="98"/>
      <c r="F26" s="98"/>
      <c r="G26" s="99"/>
      <c r="H26" s="100"/>
      <c r="I26" s="98"/>
      <c r="J26" s="99"/>
      <c r="K26" s="100"/>
      <c r="L26" s="98"/>
      <c r="M26" s="99"/>
      <c r="N26" s="101"/>
      <c r="O26" s="102"/>
      <c r="P26" s="19">
        <f>SUM(P18:P25)</f>
        <v>8000</v>
      </c>
    </row>
    <row r="27" spans="1:16" ht="16.5" x14ac:dyDescent="0.25">
      <c r="A27" s="85" t="s">
        <v>67</v>
      </c>
      <c r="B27" s="86"/>
      <c r="C27" s="86"/>
      <c r="D27" s="113" t="s">
        <v>68</v>
      </c>
      <c r="E27" s="114"/>
      <c r="F27" s="114"/>
      <c r="G27" s="114"/>
      <c r="H27" s="114"/>
      <c r="I27" s="114"/>
      <c r="J27" s="114"/>
      <c r="K27" s="115" t="s">
        <v>69</v>
      </c>
      <c r="L27" s="116"/>
      <c r="M27" s="116"/>
      <c r="N27" s="117"/>
      <c r="O27" s="113" t="s">
        <v>70</v>
      </c>
      <c r="P27" s="118"/>
    </row>
    <row r="28" spans="1:16" ht="29.45" customHeight="1" x14ac:dyDescent="0.25">
      <c r="A28" s="119"/>
      <c r="B28" s="120"/>
      <c r="C28" s="120"/>
      <c r="D28" s="121"/>
      <c r="E28" s="122"/>
      <c r="F28" s="122"/>
      <c r="G28" s="122"/>
      <c r="H28" s="122"/>
      <c r="I28" s="122"/>
      <c r="J28" s="122"/>
      <c r="K28" s="121"/>
      <c r="L28" s="122"/>
      <c r="M28" s="122"/>
      <c r="N28" s="123"/>
      <c r="O28" s="122"/>
      <c r="P28" s="124"/>
    </row>
    <row r="29" spans="1:16" ht="16.5" x14ac:dyDescent="0.25">
      <c r="A29" s="119" t="s">
        <v>71</v>
      </c>
      <c r="B29" s="120"/>
      <c r="C29" s="120"/>
      <c r="D29" s="121" t="s">
        <v>72</v>
      </c>
      <c r="E29" s="122"/>
      <c r="F29" s="122"/>
      <c r="G29" s="122"/>
      <c r="H29" s="122"/>
      <c r="I29" s="122"/>
      <c r="J29" s="122"/>
      <c r="K29" s="103"/>
      <c r="L29" s="104"/>
      <c r="M29" s="104"/>
      <c r="N29" s="105"/>
      <c r="O29" s="104"/>
      <c r="P29" s="125"/>
    </row>
    <row r="30" spans="1:16" ht="25.9" customHeight="1" thickBot="1" x14ac:dyDescent="0.3">
      <c r="A30" s="106"/>
      <c r="B30" s="107"/>
      <c r="C30" s="107"/>
      <c r="D30" s="108"/>
      <c r="E30" s="109"/>
      <c r="F30" s="109"/>
      <c r="G30" s="109"/>
      <c r="H30" s="109"/>
      <c r="I30" s="109"/>
      <c r="J30" s="109"/>
      <c r="K30" s="110"/>
      <c r="L30" s="111"/>
      <c r="M30" s="111"/>
      <c r="N30" s="112"/>
      <c r="O30" s="111"/>
      <c r="P30" s="126"/>
    </row>
    <row r="31" spans="1:16" ht="16.5" x14ac:dyDescent="0.25">
      <c r="A31" s="10" t="s">
        <v>73</v>
      </c>
      <c r="B31" s="8"/>
      <c r="C31" s="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spans="1:16" x14ac:dyDescent="0.25">
      <c r="A32" s="10" t="s">
        <v>74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spans="1:16" x14ac:dyDescent="0.25">
      <c r="A33" s="10" t="s">
        <v>75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</row>
  </sheetData>
  <mergeCells count="105">
    <mergeCell ref="K29:N29"/>
    <mergeCell ref="A30:C30"/>
    <mergeCell ref="D30:J30"/>
    <mergeCell ref="K30:N30"/>
    <mergeCell ref="A27:C27"/>
    <mergeCell ref="D27:J27"/>
    <mergeCell ref="K27:N27"/>
    <mergeCell ref="O27:P27"/>
    <mergeCell ref="A28:C28"/>
    <mergeCell ref="D28:J28"/>
    <mergeCell ref="K28:N28"/>
    <mergeCell ref="O28:P30"/>
    <mergeCell ref="A29:C29"/>
    <mergeCell ref="D29:J29"/>
    <mergeCell ref="A25:C25"/>
    <mergeCell ref="D25:G25"/>
    <mergeCell ref="H25:J25"/>
    <mergeCell ref="K25:M25"/>
    <mergeCell ref="N25:O25"/>
    <mergeCell ref="A26:C26"/>
    <mergeCell ref="D26:G26"/>
    <mergeCell ref="H26:J26"/>
    <mergeCell ref="K26:M26"/>
    <mergeCell ref="N26:O26"/>
    <mergeCell ref="A23:C23"/>
    <mergeCell ref="D23:G23"/>
    <mergeCell ref="H23:J23"/>
    <mergeCell ref="K23:M23"/>
    <mergeCell ref="N23:O23"/>
    <mergeCell ref="A24:C24"/>
    <mergeCell ref="D24:G24"/>
    <mergeCell ref="H24:J24"/>
    <mergeCell ref="K24:M24"/>
    <mergeCell ref="N24:O24"/>
    <mergeCell ref="A21:C21"/>
    <mergeCell ref="D21:G21"/>
    <mergeCell ref="H21:J21"/>
    <mergeCell ref="K21:M21"/>
    <mergeCell ref="N21:O21"/>
    <mergeCell ref="A22:C22"/>
    <mergeCell ref="D22:G22"/>
    <mergeCell ref="H22:J22"/>
    <mergeCell ref="K22:M22"/>
    <mergeCell ref="N22:O22"/>
    <mergeCell ref="A19:C19"/>
    <mergeCell ref="D19:G19"/>
    <mergeCell ref="H19:J19"/>
    <mergeCell ref="K19:M19"/>
    <mergeCell ref="N19:O19"/>
    <mergeCell ref="A20:C20"/>
    <mergeCell ref="D20:G20"/>
    <mergeCell ref="H20:J20"/>
    <mergeCell ref="K20:M20"/>
    <mergeCell ref="N20:O20"/>
    <mergeCell ref="A17:C17"/>
    <mergeCell ref="D17:G17"/>
    <mergeCell ref="H17:J17"/>
    <mergeCell ref="K17:M17"/>
    <mergeCell ref="N17:O17"/>
    <mergeCell ref="A18:C18"/>
    <mergeCell ref="D18:G18"/>
    <mergeCell ref="H18:J18"/>
    <mergeCell ref="K18:M18"/>
    <mergeCell ref="N18:O18"/>
    <mergeCell ref="C12:F12"/>
    <mergeCell ref="G12:L12"/>
    <mergeCell ref="A13:P13"/>
    <mergeCell ref="A14:P14"/>
    <mergeCell ref="A15:P15"/>
    <mergeCell ref="A16:P16"/>
    <mergeCell ref="A10:B10"/>
    <mergeCell ref="C10:F10"/>
    <mergeCell ref="G10:L10"/>
    <mergeCell ref="M10:N12"/>
    <mergeCell ref="O10:O12"/>
    <mergeCell ref="P10:P12"/>
    <mergeCell ref="A11:B11"/>
    <mergeCell ref="C11:F11"/>
    <mergeCell ref="G11:L11"/>
    <mergeCell ref="A12:B12"/>
    <mergeCell ref="A8:B9"/>
    <mergeCell ref="C8:F8"/>
    <mergeCell ref="G8:L8"/>
    <mergeCell ref="M8:N9"/>
    <mergeCell ref="O8:O9"/>
    <mergeCell ref="P8:P9"/>
    <mergeCell ref="C9:F9"/>
    <mergeCell ref="G9:L9"/>
    <mergeCell ref="F5:F7"/>
    <mergeCell ref="J5:J7"/>
    <mergeCell ref="K5:K7"/>
    <mergeCell ref="L5:L7"/>
    <mergeCell ref="B6:D6"/>
    <mergeCell ref="M6:N7"/>
    <mergeCell ref="B7:D7"/>
    <mergeCell ref="C1:N1"/>
    <mergeCell ref="C2:N2"/>
    <mergeCell ref="A3:A4"/>
    <mergeCell ref="B3:D4"/>
    <mergeCell ref="E3:L3"/>
    <mergeCell ref="M3:P3"/>
    <mergeCell ref="M4:P5"/>
    <mergeCell ref="A5:A7"/>
    <mergeCell ref="B5:D5"/>
    <mergeCell ref="E5:E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29CA-248B-4586-8490-6581D89A34D1}">
  <dimension ref="A1:H12"/>
  <sheetViews>
    <sheetView workbookViewId="0">
      <selection activeCell="B3" sqref="B3:C3"/>
    </sheetView>
  </sheetViews>
  <sheetFormatPr defaultRowHeight="15" x14ac:dyDescent="0.25"/>
  <cols>
    <col min="1" max="1" width="8.5703125" customWidth="1"/>
    <col min="2" max="2" width="11.85546875" customWidth="1"/>
    <col min="3" max="3" width="6" customWidth="1"/>
    <col min="4" max="4" width="11.7109375" customWidth="1"/>
    <col min="5" max="5" width="10.42578125" customWidth="1"/>
    <col min="6" max="6" width="14.5703125" customWidth="1"/>
    <col min="7" max="7" width="5.7109375" customWidth="1"/>
    <col min="8" max="8" width="15" customWidth="1"/>
  </cols>
  <sheetData>
    <row r="1" spans="1:8" ht="57.6" customHeight="1" x14ac:dyDescent="0.25">
      <c r="A1" s="39" t="s">
        <v>142</v>
      </c>
      <c r="B1" s="39"/>
      <c r="C1" s="39"/>
      <c r="D1" s="39"/>
      <c r="E1" s="39"/>
      <c r="F1" s="39"/>
      <c r="G1" s="39"/>
      <c r="H1" s="39"/>
    </row>
    <row r="2" spans="1:8" ht="21" x14ac:dyDescent="0.25">
      <c r="A2" s="3" t="s">
        <v>11</v>
      </c>
      <c r="B2" s="37" t="s">
        <v>8</v>
      </c>
      <c r="C2" s="38"/>
      <c r="D2" s="37" t="s">
        <v>10</v>
      </c>
      <c r="E2" s="38"/>
      <c r="F2" s="3" t="s">
        <v>20</v>
      </c>
      <c r="G2" s="37" t="s">
        <v>22</v>
      </c>
      <c r="H2" s="38"/>
    </row>
    <row r="3" spans="1:8" ht="30" customHeight="1" x14ac:dyDescent="0.25">
      <c r="A3" s="3">
        <v>1</v>
      </c>
      <c r="B3" s="37" t="s">
        <v>101</v>
      </c>
      <c r="C3" s="38" t="s">
        <v>0</v>
      </c>
      <c r="D3" s="37" t="s">
        <v>143</v>
      </c>
      <c r="E3" s="38"/>
      <c r="F3" s="3">
        <v>1000</v>
      </c>
      <c r="G3" s="37"/>
      <c r="H3" s="38"/>
    </row>
    <row r="4" spans="1:8" ht="30" customHeight="1" x14ac:dyDescent="0.25">
      <c r="A4" s="3">
        <v>2</v>
      </c>
      <c r="B4" s="37" t="s">
        <v>0</v>
      </c>
      <c r="C4" s="38" t="s">
        <v>0</v>
      </c>
      <c r="D4" s="37" t="s">
        <v>144</v>
      </c>
      <c r="E4" s="38" t="s">
        <v>107</v>
      </c>
      <c r="F4" s="3">
        <v>1000</v>
      </c>
      <c r="G4" s="37"/>
      <c r="H4" s="38"/>
    </row>
    <row r="5" spans="1:8" ht="30" customHeight="1" x14ac:dyDescent="0.25">
      <c r="A5" s="3">
        <v>3</v>
      </c>
      <c r="B5" s="37" t="s">
        <v>1</v>
      </c>
      <c r="C5" s="38" t="s">
        <v>1</v>
      </c>
      <c r="D5" s="37" t="s">
        <v>145</v>
      </c>
      <c r="E5" s="38" t="s">
        <v>113</v>
      </c>
      <c r="F5" s="3">
        <v>1000</v>
      </c>
      <c r="G5" s="37"/>
      <c r="H5" s="38"/>
    </row>
    <row r="6" spans="1:8" ht="30" customHeight="1" x14ac:dyDescent="0.25">
      <c r="A6" s="3">
        <v>4</v>
      </c>
      <c r="B6" s="37" t="s">
        <v>1</v>
      </c>
      <c r="C6" s="38" t="s">
        <v>1</v>
      </c>
      <c r="D6" s="37" t="s">
        <v>146</v>
      </c>
      <c r="E6" s="38" t="s">
        <v>117</v>
      </c>
      <c r="F6" s="3">
        <v>1000</v>
      </c>
      <c r="G6" s="37"/>
      <c r="H6" s="38"/>
    </row>
    <row r="7" spans="1:8" ht="30" customHeight="1" x14ac:dyDescent="0.25">
      <c r="A7" s="3">
        <v>5</v>
      </c>
      <c r="B7" s="37" t="s">
        <v>2</v>
      </c>
      <c r="C7" s="38" t="s">
        <v>2</v>
      </c>
      <c r="D7" s="37" t="s">
        <v>147</v>
      </c>
      <c r="E7" s="38" t="s">
        <v>77</v>
      </c>
      <c r="F7" s="3">
        <v>1000</v>
      </c>
      <c r="G7" s="37"/>
      <c r="H7" s="38"/>
    </row>
    <row r="8" spans="1:8" ht="30" customHeight="1" x14ac:dyDescent="0.25">
      <c r="A8" s="3">
        <v>6</v>
      </c>
      <c r="B8" s="37" t="s">
        <v>3</v>
      </c>
      <c r="C8" s="38" t="s">
        <v>3</v>
      </c>
      <c r="D8" s="37" t="s">
        <v>148</v>
      </c>
      <c r="E8" s="38" t="s">
        <v>78</v>
      </c>
      <c r="F8" s="3">
        <v>1000</v>
      </c>
      <c r="G8" s="37"/>
      <c r="H8" s="38"/>
    </row>
    <row r="9" spans="1:8" ht="30" customHeight="1" x14ac:dyDescent="0.25">
      <c r="A9" s="3">
        <v>7</v>
      </c>
      <c r="B9" s="37" t="s">
        <v>6</v>
      </c>
      <c r="C9" s="38" t="s">
        <v>6</v>
      </c>
      <c r="D9" s="37" t="s">
        <v>149</v>
      </c>
      <c r="E9" s="38" t="s">
        <v>79</v>
      </c>
      <c r="F9" s="3">
        <v>1000</v>
      </c>
      <c r="G9" s="37"/>
      <c r="H9" s="38"/>
    </row>
    <row r="10" spans="1:8" ht="30" customHeight="1" x14ac:dyDescent="0.25">
      <c r="A10" s="3">
        <v>8</v>
      </c>
      <c r="B10" s="37" t="s">
        <v>7</v>
      </c>
      <c r="C10" s="38" t="s">
        <v>7</v>
      </c>
      <c r="D10" s="37" t="s">
        <v>150</v>
      </c>
      <c r="E10" s="38" t="s">
        <v>4</v>
      </c>
      <c r="F10" s="3">
        <v>1000</v>
      </c>
      <c r="G10" s="37"/>
      <c r="H10" s="38"/>
    </row>
    <row r="11" spans="1:8" ht="21" x14ac:dyDescent="0.25">
      <c r="A11" s="4"/>
      <c r="B11" s="4"/>
      <c r="C11" s="4"/>
      <c r="D11" s="4"/>
      <c r="E11" s="4"/>
      <c r="F11" s="4"/>
      <c r="G11" s="4"/>
    </row>
    <row r="12" spans="1:8" ht="15.75" x14ac:dyDescent="0.25">
      <c r="A12" s="5" t="s">
        <v>23</v>
      </c>
      <c r="B12" s="5"/>
      <c r="C12" s="5" t="s">
        <v>24</v>
      </c>
      <c r="D12" s="5"/>
      <c r="E12" s="7" t="s">
        <v>25</v>
      </c>
      <c r="F12" s="6"/>
      <c r="G12" s="5" t="s">
        <v>21</v>
      </c>
      <c r="H12" s="6"/>
    </row>
  </sheetData>
  <mergeCells count="28">
    <mergeCell ref="A1:H1"/>
    <mergeCell ref="B2:C2"/>
    <mergeCell ref="D2:E2"/>
    <mergeCell ref="G2:H2"/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G6:H6"/>
    <mergeCell ref="B7:C7"/>
    <mergeCell ref="D7:E7"/>
    <mergeCell ref="G7:H7"/>
    <mergeCell ref="B10:C10"/>
    <mergeCell ref="D10:E10"/>
    <mergeCell ref="G10:H10"/>
    <mergeCell ref="B8:C8"/>
    <mergeCell ref="D8:E8"/>
    <mergeCell ref="G8:H8"/>
    <mergeCell ref="B9:C9"/>
    <mergeCell ref="D9:E9"/>
    <mergeCell ref="G9:H9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0F7F-9937-47D0-AD06-C289A2393B2C}">
  <dimension ref="A1:P33"/>
  <sheetViews>
    <sheetView topLeftCell="A4" workbookViewId="0">
      <selection activeCell="K22" sqref="K22:M22"/>
    </sheetView>
  </sheetViews>
  <sheetFormatPr defaultRowHeight="15" x14ac:dyDescent="0.25"/>
  <cols>
    <col min="1" max="1" width="9" customWidth="1"/>
    <col min="2" max="2" width="5.85546875" customWidth="1"/>
    <col min="3" max="3" width="6.7109375" customWidth="1"/>
    <col min="4" max="4" width="4.42578125" customWidth="1"/>
    <col min="5" max="12" width="3.140625" customWidth="1"/>
    <col min="13" max="13" width="5.28515625" customWidth="1"/>
    <col min="14" max="14" width="8" customWidth="1"/>
    <col min="15" max="15" width="3.7109375" customWidth="1"/>
    <col min="16" max="16" width="17.28515625" customWidth="1"/>
  </cols>
  <sheetData>
    <row r="1" spans="1:16" ht="25.5" x14ac:dyDescent="0.25">
      <c r="A1" s="31"/>
      <c r="B1" s="31"/>
      <c r="C1" s="40" t="s">
        <v>26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1"/>
      <c r="P1" s="31"/>
    </row>
    <row r="2" spans="1:16" ht="21.75" thickBot="1" x14ac:dyDescent="0.3">
      <c r="A2" s="31"/>
      <c r="B2" s="31"/>
      <c r="C2" s="41" t="s">
        <v>27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31"/>
      <c r="P2" s="31"/>
    </row>
    <row r="3" spans="1:16" ht="16.5" x14ac:dyDescent="0.25">
      <c r="A3" s="42" t="s">
        <v>28</v>
      </c>
      <c r="B3" s="44" t="s">
        <v>29</v>
      </c>
      <c r="C3" s="44"/>
      <c r="D3" s="44"/>
      <c r="E3" s="44" t="s">
        <v>30</v>
      </c>
      <c r="F3" s="44"/>
      <c r="G3" s="44"/>
      <c r="H3" s="44"/>
      <c r="I3" s="44"/>
      <c r="J3" s="44"/>
      <c r="K3" s="44"/>
      <c r="L3" s="44"/>
      <c r="M3" s="44" t="s">
        <v>31</v>
      </c>
      <c r="N3" s="44"/>
      <c r="O3" s="44"/>
      <c r="P3" s="46"/>
    </row>
    <row r="4" spans="1:16" ht="33" x14ac:dyDescent="0.25">
      <c r="A4" s="43"/>
      <c r="B4" s="45"/>
      <c r="C4" s="45"/>
      <c r="D4" s="45"/>
      <c r="E4" s="30" t="s">
        <v>32</v>
      </c>
      <c r="F4" s="30" t="s">
        <v>33</v>
      </c>
      <c r="G4" s="30" t="s">
        <v>34</v>
      </c>
      <c r="H4" s="30" t="s">
        <v>35</v>
      </c>
      <c r="I4" s="30" t="s">
        <v>36</v>
      </c>
      <c r="J4" s="30" t="s">
        <v>37</v>
      </c>
      <c r="K4" s="30" t="s">
        <v>38</v>
      </c>
      <c r="L4" s="30" t="s">
        <v>39</v>
      </c>
      <c r="M4" s="47" t="s">
        <v>151</v>
      </c>
      <c r="N4" s="48"/>
      <c r="O4" s="48"/>
      <c r="P4" s="49"/>
    </row>
    <row r="5" spans="1:16" ht="16.5" x14ac:dyDescent="0.25">
      <c r="A5" s="53" t="s">
        <v>40</v>
      </c>
      <c r="B5" s="45" t="s">
        <v>41</v>
      </c>
      <c r="C5" s="45"/>
      <c r="D5" s="45"/>
      <c r="E5" s="56"/>
      <c r="F5" s="69"/>
      <c r="G5" s="11"/>
      <c r="H5" s="11"/>
      <c r="I5" s="11"/>
      <c r="J5" s="70">
        <v>0</v>
      </c>
      <c r="K5" s="56">
        <v>0</v>
      </c>
      <c r="L5" s="56">
        <v>0</v>
      </c>
      <c r="M5" s="50"/>
      <c r="N5" s="51"/>
      <c r="O5" s="51"/>
      <c r="P5" s="52"/>
    </row>
    <row r="6" spans="1:16" ht="19.5" x14ac:dyDescent="0.25">
      <c r="A6" s="54"/>
      <c r="B6" s="45"/>
      <c r="C6" s="45"/>
      <c r="D6" s="45"/>
      <c r="E6" s="56"/>
      <c r="F6" s="69"/>
      <c r="G6" s="12" t="s">
        <v>42</v>
      </c>
      <c r="H6" s="9"/>
      <c r="I6" s="13">
        <v>8</v>
      </c>
      <c r="J6" s="70"/>
      <c r="K6" s="56"/>
      <c r="L6" s="56"/>
      <c r="M6" s="71" t="s">
        <v>43</v>
      </c>
      <c r="N6" s="72"/>
      <c r="O6" s="17" t="s">
        <v>45</v>
      </c>
      <c r="P6" s="14" t="s">
        <v>44</v>
      </c>
    </row>
    <row r="7" spans="1:16" ht="19.5" x14ac:dyDescent="0.25">
      <c r="A7" s="55"/>
      <c r="B7" s="45"/>
      <c r="C7" s="75"/>
      <c r="D7" s="75"/>
      <c r="E7" s="56"/>
      <c r="F7" s="69"/>
      <c r="G7" s="15"/>
      <c r="H7" s="16"/>
      <c r="I7" s="15"/>
      <c r="J7" s="70"/>
      <c r="K7" s="56"/>
      <c r="L7" s="56"/>
      <c r="M7" s="73"/>
      <c r="N7" s="74"/>
      <c r="O7" s="17" t="s">
        <v>131</v>
      </c>
      <c r="P7" s="14" t="s">
        <v>46</v>
      </c>
    </row>
    <row r="8" spans="1:16" ht="16.5" x14ac:dyDescent="0.25">
      <c r="A8" s="43" t="s">
        <v>47</v>
      </c>
      <c r="B8" s="57"/>
      <c r="C8" s="58" t="s">
        <v>48</v>
      </c>
      <c r="D8" s="59"/>
      <c r="E8" s="59"/>
      <c r="F8" s="59"/>
      <c r="G8" s="58" t="s">
        <v>49</v>
      </c>
      <c r="H8" s="59"/>
      <c r="I8" s="59"/>
      <c r="J8" s="59"/>
      <c r="K8" s="59"/>
      <c r="L8" s="60"/>
      <c r="M8" s="61" t="s">
        <v>50</v>
      </c>
      <c r="N8" s="45"/>
      <c r="O8" s="62" t="s">
        <v>132</v>
      </c>
      <c r="P8" s="64" t="s">
        <v>134</v>
      </c>
    </row>
    <row r="9" spans="1:16" ht="16.5" x14ac:dyDescent="0.25">
      <c r="A9" s="43"/>
      <c r="B9" s="57"/>
      <c r="C9" s="66" t="s">
        <v>51</v>
      </c>
      <c r="D9" s="67"/>
      <c r="E9" s="67"/>
      <c r="F9" s="67"/>
      <c r="G9" s="66" t="s">
        <v>52</v>
      </c>
      <c r="H9" s="67"/>
      <c r="I9" s="67"/>
      <c r="J9" s="67"/>
      <c r="K9" s="67"/>
      <c r="L9" s="68"/>
      <c r="M9" s="61"/>
      <c r="N9" s="45"/>
      <c r="O9" s="63"/>
      <c r="P9" s="65"/>
    </row>
    <row r="10" spans="1:16" ht="26.45" customHeight="1" x14ac:dyDescent="0.25">
      <c r="A10" s="43" t="s">
        <v>53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 t="s">
        <v>54</v>
      </c>
      <c r="P10" s="81"/>
    </row>
    <row r="11" spans="1:16" ht="16.5" x14ac:dyDescent="0.25">
      <c r="A11" s="43" t="s">
        <v>55</v>
      </c>
      <c r="B11" s="45"/>
      <c r="C11" s="45" t="s">
        <v>56</v>
      </c>
      <c r="D11" s="45"/>
      <c r="E11" s="45"/>
      <c r="F11" s="45"/>
      <c r="G11" s="45" t="s">
        <v>57</v>
      </c>
      <c r="H11" s="45"/>
      <c r="I11" s="45"/>
      <c r="J11" s="45"/>
      <c r="K11" s="45"/>
      <c r="L11" s="45"/>
      <c r="M11" s="45"/>
      <c r="N11" s="45"/>
      <c r="O11" s="45"/>
      <c r="P11" s="82"/>
    </row>
    <row r="12" spans="1:16" ht="25.15" customHeight="1" x14ac:dyDescent="0.25">
      <c r="A12" s="84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83"/>
    </row>
    <row r="13" spans="1:16" x14ac:dyDescent="0.25">
      <c r="A13" s="77" t="s">
        <v>58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</row>
    <row r="14" spans="1:16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19.5" x14ac:dyDescent="0.25">
      <c r="A15" s="79" t="s">
        <v>59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</row>
    <row r="16" spans="1:16" ht="17.25" thickBot="1" x14ac:dyDescent="0.3">
      <c r="A16" s="80" t="s">
        <v>153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</row>
    <row r="17" spans="1:16" ht="16.5" x14ac:dyDescent="0.25">
      <c r="A17" s="85" t="s">
        <v>60</v>
      </c>
      <c r="B17" s="86"/>
      <c r="C17" s="86"/>
      <c r="D17" s="86" t="s">
        <v>61</v>
      </c>
      <c r="E17" s="86"/>
      <c r="F17" s="86"/>
      <c r="G17" s="86"/>
      <c r="H17" s="86" t="s">
        <v>62</v>
      </c>
      <c r="I17" s="86"/>
      <c r="J17" s="86"/>
      <c r="K17" s="86" t="s">
        <v>63</v>
      </c>
      <c r="L17" s="86"/>
      <c r="M17" s="86"/>
      <c r="N17" s="86" t="s">
        <v>64</v>
      </c>
      <c r="O17" s="86"/>
      <c r="P17" s="18" t="s">
        <v>65</v>
      </c>
    </row>
    <row r="18" spans="1:16" s="33" customFormat="1" ht="42" customHeight="1" x14ac:dyDescent="0.25">
      <c r="A18" s="128" t="s">
        <v>152</v>
      </c>
      <c r="B18" s="129"/>
      <c r="C18" s="130"/>
      <c r="D18" s="131"/>
      <c r="E18" s="131"/>
      <c r="F18" s="131"/>
      <c r="G18" s="131"/>
      <c r="H18" s="132"/>
      <c r="I18" s="133"/>
      <c r="J18" s="134"/>
      <c r="K18" s="92">
        <v>8</v>
      </c>
      <c r="L18" s="92"/>
      <c r="M18" s="92"/>
      <c r="N18" s="93">
        <v>1000</v>
      </c>
      <c r="O18" s="93"/>
      <c r="P18" s="26">
        <f>N18*K18</f>
        <v>8000</v>
      </c>
    </row>
    <row r="19" spans="1:16" ht="21" x14ac:dyDescent="0.25">
      <c r="A19" s="37"/>
      <c r="B19" s="87"/>
      <c r="C19" s="38"/>
      <c r="D19" s="92"/>
      <c r="E19" s="92"/>
      <c r="F19" s="92"/>
      <c r="G19" s="92"/>
      <c r="H19" s="89"/>
      <c r="I19" s="90"/>
      <c r="J19" s="91"/>
      <c r="K19" s="92"/>
      <c r="L19" s="92"/>
      <c r="M19" s="92"/>
      <c r="N19" s="93"/>
      <c r="O19" s="93"/>
      <c r="P19" s="26"/>
    </row>
    <row r="20" spans="1:16" ht="21" x14ac:dyDescent="0.25">
      <c r="A20" s="37"/>
      <c r="B20" s="87"/>
      <c r="C20" s="38"/>
      <c r="D20" s="89"/>
      <c r="E20" s="90"/>
      <c r="F20" s="90"/>
      <c r="G20" s="91"/>
      <c r="H20" s="89"/>
      <c r="I20" s="90"/>
      <c r="J20" s="91"/>
      <c r="K20" s="92"/>
      <c r="L20" s="92"/>
      <c r="M20" s="92"/>
      <c r="N20" s="93"/>
      <c r="O20" s="93"/>
      <c r="P20" s="26"/>
    </row>
    <row r="21" spans="1:16" ht="21" x14ac:dyDescent="0.25">
      <c r="A21" s="37"/>
      <c r="B21" s="87"/>
      <c r="C21" s="38"/>
      <c r="D21" s="92"/>
      <c r="E21" s="92"/>
      <c r="F21" s="92"/>
      <c r="G21" s="92"/>
      <c r="H21" s="89"/>
      <c r="I21" s="90"/>
      <c r="J21" s="91"/>
      <c r="K21" s="92"/>
      <c r="L21" s="92"/>
      <c r="M21" s="92"/>
      <c r="N21" s="93"/>
      <c r="O21" s="93"/>
      <c r="P21" s="26"/>
    </row>
    <row r="22" spans="1:16" ht="21" x14ac:dyDescent="0.25">
      <c r="A22" s="37"/>
      <c r="B22" s="87"/>
      <c r="C22" s="38"/>
      <c r="D22" s="89"/>
      <c r="E22" s="90"/>
      <c r="F22" s="90"/>
      <c r="G22" s="91"/>
      <c r="H22" s="89"/>
      <c r="I22" s="90"/>
      <c r="J22" s="91"/>
      <c r="K22" s="92"/>
      <c r="L22" s="92"/>
      <c r="M22" s="92"/>
      <c r="N22" s="93"/>
      <c r="O22" s="93"/>
      <c r="P22" s="26"/>
    </row>
    <row r="23" spans="1:16" ht="21" x14ac:dyDescent="0.25">
      <c r="A23" s="37"/>
      <c r="B23" s="87"/>
      <c r="C23" s="38"/>
      <c r="D23" s="89"/>
      <c r="E23" s="90"/>
      <c r="F23" s="90"/>
      <c r="G23" s="91"/>
      <c r="H23" s="89"/>
      <c r="I23" s="90"/>
      <c r="J23" s="91"/>
      <c r="K23" s="92"/>
      <c r="L23" s="92"/>
      <c r="M23" s="92"/>
      <c r="N23" s="93"/>
      <c r="O23" s="93"/>
      <c r="P23" s="26"/>
    </row>
    <row r="24" spans="1:16" ht="21" x14ac:dyDescent="0.25">
      <c r="A24" s="37"/>
      <c r="B24" s="87"/>
      <c r="C24" s="38"/>
      <c r="D24" s="89"/>
      <c r="E24" s="90"/>
      <c r="F24" s="90"/>
      <c r="G24" s="91"/>
      <c r="H24" s="89"/>
      <c r="I24" s="90"/>
      <c r="J24" s="91"/>
      <c r="K24" s="92"/>
      <c r="L24" s="92"/>
      <c r="M24" s="92"/>
      <c r="N24" s="93"/>
      <c r="O24" s="93"/>
      <c r="P24" s="26"/>
    </row>
    <row r="25" spans="1:16" ht="21.75" thickBot="1" x14ac:dyDescent="0.3">
      <c r="A25" s="94"/>
      <c r="B25" s="95"/>
      <c r="C25" s="96"/>
      <c r="D25" s="89"/>
      <c r="E25" s="90"/>
      <c r="F25" s="90"/>
      <c r="G25" s="91"/>
      <c r="H25" s="89"/>
      <c r="I25" s="90"/>
      <c r="J25" s="91"/>
      <c r="K25" s="92"/>
      <c r="L25" s="92"/>
      <c r="M25" s="92"/>
      <c r="N25" s="93"/>
      <c r="O25" s="93"/>
      <c r="P25" s="26"/>
    </row>
    <row r="26" spans="1:16" ht="20.25" thickBot="1" x14ac:dyDescent="0.3">
      <c r="A26" s="97" t="s">
        <v>66</v>
      </c>
      <c r="B26" s="98"/>
      <c r="C26" s="99"/>
      <c r="D26" s="100"/>
      <c r="E26" s="98"/>
      <c r="F26" s="98"/>
      <c r="G26" s="99"/>
      <c r="H26" s="100"/>
      <c r="I26" s="98"/>
      <c r="J26" s="99"/>
      <c r="K26" s="100"/>
      <c r="L26" s="98"/>
      <c r="M26" s="99"/>
      <c r="N26" s="101"/>
      <c r="O26" s="102"/>
      <c r="P26" s="19">
        <f>SUM(P18:P25)</f>
        <v>8000</v>
      </c>
    </row>
    <row r="27" spans="1:16" ht="16.5" x14ac:dyDescent="0.25">
      <c r="A27" s="85" t="s">
        <v>67</v>
      </c>
      <c r="B27" s="86"/>
      <c r="C27" s="86"/>
      <c r="D27" s="113" t="s">
        <v>68</v>
      </c>
      <c r="E27" s="114"/>
      <c r="F27" s="114"/>
      <c r="G27" s="114"/>
      <c r="H27" s="114"/>
      <c r="I27" s="114"/>
      <c r="J27" s="114"/>
      <c r="K27" s="115" t="s">
        <v>69</v>
      </c>
      <c r="L27" s="116"/>
      <c r="M27" s="116"/>
      <c r="N27" s="117"/>
      <c r="O27" s="113" t="s">
        <v>70</v>
      </c>
      <c r="P27" s="118"/>
    </row>
    <row r="28" spans="1:16" ht="29.45" customHeight="1" x14ac:dyDescent="0.25">
      <c r="A28" s="119"/>
      <c r="B28" s="120"/>
      <c r="C28" s="120"/>
      <c r="D28" s="121"/>
      <c r="E28" s="122"/>
      <c r="F28" s="122"/>
      <c r="G28" s="122"/>
      <c r="H28" s="122"/>
      <c r="I28" s="122"/>
      <c r="J28" s="122"/>
      <c r="K28" s="121"/>
      <c r="L28" s="122"/>
      <c r="M28" s="122"/>
      <c r="N28" s="123"/>
      <c r="O28" s="122"/>
      <c r="P28" s="124"/>
    </row>
    <row r="29" spans="1:16" ht="16.5" x14ac:dyDescent="0.25">
      <c r="A29" s="119" t="s">
        <v>71</v>
      </c>
      <c r="B29" s="120"/>
      <c r="C29" s="120"/>
      <c r="D29" s="121" t="s">
        <v>72</v>
      </c>
      <c r="E29" s="122"/>
      <c r="F29" s="122"/>
      <c r="G29" s="122"/>
      <c r="H29" s="122"/>
      <c r="I29" s="122"/>
      <c r="J29" s="122"/>
      <c r="K29" s="103"/>
      <c r="L29" s="104"/>
      <c r="M29" s="104"/>
      <c r="N29" s="105"/>
      <c r="O29" s="104"/>
      <c r="P29" s="125"/>
    </row>
    <row r="30" spans="1:16" ht="25.9" customHeight="1" thickBot="1" x14ac:dyDescent="0.3">
      <c r="A30" s="106"/>
      <c r="B30" s="107"/>
      <c r="C30" s="107"/>
      <c r="D30" s="108"/>
      <c r="E30" s="109"/>
      <c r="F30" s="109"/>
      <c r="G30" s="109"/>
      <c r="H30" s="109"/>
      <c r="I30" s="109"/>
      <c r="J30" s="109"/>
      <c r="K30" s="110"/>
      <c r="L30" s="111"/>
      <c r="M30" s="111"/>
      <c r="N30" s="112"/>
      <c r="O30" s="111"/>
      <c r="P30" s="126"/>
    </row>
    <row r="31" spans="1:16" ht="16.5" x14ac:dyDescent="0.25">
      <c r="A31" s="10" t="s">
        <v>73</v>
      </c>
      <c r="B31" s="8"/>
      <c r="C31" s="8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spans="1:16" x14ac:dyDescent="0.25">
      <c r="A32" s="10" t="s">
        <v>74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</row>
    <row r="33" spans="1:16" x14ac:dyDescent="0.25">
      <c r="A33" s="10" t="s">
        <v>75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</row>
  </sheetData>
  <mergeCells count="105">
    <mergeCell ref="C1:N1"/>
    <mergeCell ref="C2:N2"/>
    <mergeCell ref="A3:A4"/>
    <mergeCell ref="B3:D4"/>
    <mergeCell ref="E3:L3"/>
    <mergeCell ref="M3:P3"/>
    <mergeCell ref="M4:P5"/>
    <mergeCell ref="A5:A7"/>
    <mergeCell ref="B5:D5"/>
    <mergeCell ref="E5:E7"/>
    <mergeCell ref="A8:B9"/>
    <mergeCell ref="C8:F8"/>
    <mergeCell ref="G8:L8"/>
    <mergeCell ref="M8:N9"/>
    <mergeCell ref="O8:O9"/>
    <mergeCell ref="P8:P9"/>
    <mergeCell ref="C9:F9"/>
    <mergeCell ref="G9:L9"/>
    <mergeCell ref="F5:F7"/>
    <mergeCell ref="J5:J7"/>
    <mergeCell ref="K5:K7"/>
    <mergeCell ref="L5:L7"/>
    <mergeCell ref="B6:D6"/>
    <mergeCell ref="M6:N7"/>
    <mergeCell ref="B7:D7"/>
    <mergeCell ref="C12:F12"/>
    <mergeCell ref="G12:L12"/>
    <mergeCell ref="A13:P13"/>
    <mergeCell ref="A14:P14"/>
    <mergeCell ref="A15:P15"/>
    <mergeCell ref="A16:P16"/>
    <mergeCell ref="A10:B10"/>
    <mergeCell ref="C10:F10"/>
    <mergeCell ref="G10:L10"/>
    <mergeCell ref="M10:N12"/>
    <mergeCell ref="O10:O12"/>
    <mergeCell ref="P10:P12"/>
    <mergeCell ref="A11:B11"/>
    <mergeCell ref="C11:F11"/>
    <mergeCell ref="G11:L11"/>
    <mergeCell ref="A12:B12"/>
    <mergeCell ref="A17:C17"/>
    <mergeCell ref="D17:G17"/>
    <mergeCell ref="H17:J17"/>
    <mergeCell ref="K17:M17"/>
    <mergeCell ref="N17:O17"/>
    <mergeCell ref="A18:C18"/>
    <mergeCell ref="D18:G18"/>
    <mergeCell ref="H18:J18"/>
    <mergeCell ref="K18:M18"/>
    <mergeCell ref="N18:O18"/>
    <mergeCell ref="A19:C19"/>
    <mergeCell ref="D19:G19"/>
    <mergeCell ref="H19:J19"/>
    <mergeCell ref="K19:M19"/>
    <mergeCell ref="N19:O19"/>
    <mergeCell ref="A20:C20"/>
    <mergeCell ref="D20:G20"/>
    <mergeCell ref="H20:J20"/>
    <mergeCell ref="K20:M20"/>
    <mergeCell ref="N20:O20"/>
    <mergeCell ref="A21:C21"/>
    <mergeCell ref="D21:G21"/>
    <mergeCell ref="H21:J21"/>
    <mergeCell ref="K21:M21"/>
    <mergeCell ref="N21:O21"/>
    <mergeCell ref="A22:C22"/>
    <mergeCell ref="D22:G22"/>
    <mergeCell ref="H22:J22"/>
    <mergeCell ref="K22:M22"/>
    <mergeCell ref="N22:O22"/>
    <mergeCell ref="A23:C23"/>
    <mergeCell ref="D23:G23"/>
    <mergeCell ref="H23:J23"/>
    <mergeCell ref="K23:M23"/>
    <mergeCell ref="N23:O23"/>
    <mergeCell ref="A24:C24"/>
    <mergeCell ref="D24:G24"/>
    <mergeCell ref="H24:J24"/>
    <mergeCell ref="K24:M24"/>
    <mergeCell ref="N24:O24"/>
    <mergeCell ref="A25:C25"/>
    <mergeCell ref="D25:G25"/>
    <mergeCell ref="H25:J25"/>
    <mergeCell ref="K25:M25"/>
    <mergeCell ref="N25:O25"/>
    <mergeCell ref="A26:C26"/>
    <mergeCell ref="D26:G26"/>
    <mergeCell ref="H26:J26"/>
    <mergeCell ref="K26:M26"/>
    <mergeCell ref="N26:O26"/>
    <mergeCell ref="K29:N29"/>
    <mergeCell ref="A30:C30"/>
    <mergeCell ref="D30:J30"/>
    <mergeCell ref="K30:N30"/>
    <mergeCell ref="A27:C27"/>
    <mergeCell ref="D27:J27"/>
    <mergeCell ref="K27:N27"/>
    <mergeCell ref="O27:P27"/>
    <mergeCell ref="A28:C28"/>
    <mergeCell ref="D28:J28"/>
    <mergeCell ref="K28:N28"/>
    <mergeCell ref="O28:P30"/>
    <mergeCell ref="A29:C29"/>
    <mergeCell ref="D29:J2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1D382-0042-4828-9220-24148512A8AC}">
  <dimension ref="A1:H12"/>
  <sheetViews>
    <sheetView workbookViewId="0">
      <selection activeCell="B15" sqref="B15"/>
    </sheetView>
  </sheetViews>
  <sheetFormatPr defaultRowHeight="15" x14ac:dyDescent="0.25"/>
  <cols>
    <col min="1" max="1" width="8.5703125" customWidth="1"/>
    <col min="2" max="2" width="11.85546875" customWidth="1"/>
    <col min="3" max="3" width="6" customWidth="1"/>
    <col min="4" max="4" width="11.7109375" customWidth="1"/>
    <col min="5" max="5" width="10.42578125" customWidth="1"/>
    <col min="6" max="6" width="14.5703125" customWidth="1"/>
    <col min="7" max="7" width="5.7109375" customWidth="1"/>
    <col min="8" max="8" width="15" customWidth="1"/>
  </cols>
  <sheetData>
    <row r="1" spans="1:8" ht="57.6" customHeight="1" x14ac:dyDescent="0.25">
      <c r="A1" s="39" t="s">
        <v>154</v>
      </c>
      <c r="B1" s="39"/>
      <c r="C1" s="39"/>
      <c r="D1" s="39"/>
      <c r="E1" s="39"/>
      <c r="F1" s="39"/>
      <c r="G1" s="39"/>
      <c r="H1" s="39"/>
    </row>
    <row r="2" spans="1:8" ht="21" x14ac:dyDescent="0.25">
      <c r="A2" s="3" t="s">
        <v>11</v>
      </c>
      <c r="B2" s="37" t="s">
        <v>8</v>
      </c>
      <c r="C2" s="38"/>
      <c r="D2" s="37" t="s">
        <v>10</v>
      </c>
      <c r="E2" s="38"/>
      <c r="F2" s="3" t="s">
        <v>20</v>
      </c>
      <c r="G2" s="37" t="s">
        <v>22</v>
      </c>
      <c r="H2" s="38"/>
    </row>
    <row r="3" spans="1:8" ht="33" customHeight="1" x14ac:dyDescent="0.25">
      <c r="A3" s="3">
        <v>1</v>
      </c>
      <c r="B3" s="37" t="s">
        <v>101</v>
      </c>
      <c r="C3" s="38" t="s">
        <v>0</v>
      </c>
      <c r="D3" s="135" t="s">
        <v>144</v>
      </c>
      <c r="E3" s="136"/>
      <c r="F3" s="3">
        <v>1000</v>
      </c>
      <c r="G3" s="37"/>
      <c r="H3" s="38"/>
    </row>
    <row r="4" spans="1:8" ht="33" customHeight="1" x14ac:dyDescent="0.25">
      <c r="A4" s="3">
        <v>2</v>
      </c>
      <c r="B4" s="37" t="s">
        <v>0</v>
      </c>
      <c r="C4" s="38" t="s">
        <v>0</v>
      </c>
      <c r="D4" s="135" t="s">
        <v>155</v>
      </c>
      <c r="E4" s="136" t="s">
        <v>107</v>
      </c>
      <c r="F4" s="3">
        <v>1000</v>
      </c>
      <c r="G4" s="37"/>
      <c r="H4" s="38"/>
    </row>
    <row r="5" spans="1:8" ht="33" customHeight="1" x14ac:dyDescent="0.25">
      <c r="A5" s="3">
        <v>3</v>
      </c>
      <c r="B5" s="37" t="s">
        <v>1</v>
      </c>
      <c r="C5" s="38" t="s">
        <v>1</v>
      </c>
      <c r="D5" s="135" t="s">
        <v>145</v>
      </c>
      <c r="E5" s="136" t="s">
        <v>113</v>
      </c>
      <c r="F5" s="3">
        <v>1000</v>
      </c>
      <c r="G5" s="37"/>
      <c r="H5" s="38"/>
    </row>
    <row r="6" spans="1:8" ht="33" customHeight="1" x14ac:dyDescent="0.25">
      <c r="A6" s="3">
        <v>4</v>
      </c>
      <c r="B6" s="37" t="s">
        <v>1</v>
      </c>
      <c r="C6" s="38" t="s">
        <v>1</v>
      </c>
      <c r="D6" s="135" t="s">
        <v>156</v>
      </c>
      <c r="E6" s="136" t="s">
        <v>117</v>
      </c>
      <c r="F6" s="3">
        <v>1000</v>
      </c>
      <c r="G6" s="37"/>
      <c r="H6" s="38"/>
    </row>
    <row r="7" spans="1:8" ht="33" customHeight="1" x14ac:dyDescent="0.25">
      <c r="A7" s="3">
        <v>5</v>
      </c>
      <c r="B7" s="37" t="s">
        <v>2</v>
      </c>
      <c r="C7" s="38" t="s">
        <v>2</v>
      </c>
      <c r="D7" s="135" t="s">
        <v>127</v>
      </c>
      <c r="E7" s="136" t="s">
        <v>77</v>
      </c>
      <c r="F7" s="3">
        <v>1000</v>
      </c>
      <c r="G7" s="37"/>
      <c r="H7" s="38"/>
    </row>
    <row r="8" spans="1:8" ht="33" customHeight="1" x14ac:dyDescent="0.25">
      <c r="A8" s="3">
        <v>6</v>
      </c>
      <c r="B8" s="37" t="s">
        <v>3</v>
      </c>
      <c r="C8" s="38" t="s">
        <v>3</v>
      </c>
      <c r="D8" s="135" t="s">
        <v>148</v>
      </c>
      <c r="E8" s="136" t="s">
        <v>78</v>
      </c>
      <c r="F8" s="3">
        <v>1000</v>
      </c>
      <c r="G8" s="37"/>
      <c r="H8" s="38"/>
    </row>
    <row r="9" spans="1:8" ht="33.75" customHeight="1" x14ac:dyDescent="0.25">
      <c r="A9" s="3">
        <v>7</v>
      </c>
      <c r="B9" s="37" t="s">
        <v>6</v>
      </c>
      <c r="C9" s="38" t="s">
        <v>6</v>
      </c>
      <c r="D9" s="135" t="s">
        <v>149</v>
      </c>
      <c r="E9" s="136" t="s">
        <v>79</v>
      </c>
      <c r="F9" s="3">
        <v>1000</v>
      </c>
      <c r="G9" s="37"/>
      <c r="H9" s="38"/>
    </row>
    <row r="10" spans="1:8" ht="34.5" customHeight="1" x14ac:dyDescent="0.25">
      <c r="A10" s="3">
        <v>8</v>
      </c>
      <c r="B10" s="37" t="s">
        <v>7</v>
      </c>
      <c r="C10" s="38" t="s">
        <v>7</v>
      </c>
      <c r="D10" s="135" t="s">
        <v>150</v>
      </c>
      <c r="E10" s="136" t="s">
        <v>4</v>
      </c>
      <c r="F10" s="3">
        <v>1000</v>
      </c>
      <c r="G10" s="37"/>
      <c r="H10" s="38"/>
    </row>
    <row r="11" spans="1:8" ht="30" customHeight="1" x14ac:dyDescent="0.25">
      <c r="A11" s="4"/>
      <c r="B11" s="4"/>
      <c r="C11" s="4"/>
      <c r="D11" s="4"/>
      <c r="E11" s="4"/>
      <c r="F11" s="4"/>
      <c r="G11" s="4"/>
    </row>
    <row r="12" spans="1:8" ht="15.75" x14ac:dyDescent="0.25">
      <c r="A12" s="5" t="s">
        <v>23</v>
      </c>
      <c r="B12" s="5"/>
      <c r="C12" s="5" t="s">
        <v>24</v>
      </c>
      <c r="D12" s="5"/>
      <c r="E12" s="7" t="s">
        <v>25</v>
      </c>
      <c r="F12" s="6"/>
      <c r="G12" s="5" t="s">
        <v>21</v>
      </c>
      <c r="H12" s="6"/>
    </row>
  </sheetData>
  <mergeCells count="28">
    <mergeCell ref="B10:C10"/>
    <mergeCell ref="D10:E10"/>
    <mergeCell ref="G10:H10"/>
    <mergeCell ref="B8:C8"/>
    <mergeCell ref="D8:E8"/>
    <mergeCell ref="G8:H8"/>
    <mergeCell ref="B9:C9"/>
    <mergeCell ref="D9:E9"/>
    <mergeCell ref="G9:H9"/>
    <mergeCell ref="B6:C6"/>
    <mergeCell ref="D6:E6"/>
    <mergeCell ref="G6:H6"/>
    <mergeCell ref="B7:C7"/>
    <mergeCell ref="D7:E7"/>
    <mergeCell ref="G7:H7"/>
    <mergeCell ref="B4:C4"/>
    <mergeCell ref="D4:E4"/>
    <mergeCell ref="G4:H4"/>
    <mergeCell ref="B5:C5"/>
    <mergeCell ref="D5:E5"/>
    <mergeCell ref="G5:H5"/>
    <mergeCell ref="A1:H1"/>
    <mergeCell ref="B2:C2"/>
    <mergeCell ref="D2:E2"/>
    <mergeCell ref="G2:H2"/>
    <mergeCell ref="B3:C3"/>
    <mergeCell ref="D3:E3"/>
    <mergeCell ref="G3:H3"/>
  </mergeCells>
  <phoneticPr fontId="1" type="noConversion"/>
  <printOptions horizontalCentered="1"/>
  <pageMargins left="0.70866141732283472" right="0.70866141732283472" top="0.55118110236220474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90241-E21E-451D-8CF2-9036162E4370}">
  <dimension ref="A1:P33"/>
  <sheetViews>
    <sheetView tabSelected="1" workbookViewId="0">
      <selection activeCell="M4" sqref="M4:P5"/>
    </sheetView>
  </sheetViews>
  <sheetFormatPr defaultRowHeight="15" x14ac:dyDescent="0.25"/>
  <cols>
    <col min="1" max="1" width="9" customWidth="1"/>
    <col min="2" max="2" width="5.85546875" customWidth="1"/>
    <col min="3" max="3" width="6.7109375" customWidth="1"/>
    <col min="4" max="4" width="4.42578125" customWidth="1"/>
    <col min="5" max="12" width="3.140625" customWidth="1"/>
    <col min="13" max="13" width="5.28515625" customWidth="1"/>
    <col min="14" max="14" width="8" customWidth="1"/>
    <col min="15" max="15" width="3.7109375" customWidth="1"/>
    <col min="16" max="16" width="17.28515625" customWidth="1"/>
  </cols>
  <sheetData>
    <row r="1" spans="1:16" ht="25.5" x14ac:dyDescent="0.25">
      <c r="A1" s="35"/>
      <c r="B1" s="35"/>
      <c r="C1" s="40" t="s">
        <v>26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35"/>
      <c r="P1" s="35"/>
    </row>
    <row r="2" spans="1:16" ht="21.75" thickBot="1" x14ac:dyDescent="0.3">
      <c r="A2" s="35"/>
      <c r="B2" s="35"/>
      <c r="C2" s="41" t="s">
        <v>27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35"/>
      <c r="P2" s="35"/>
    </row>
    <row r="3" spans="1:16" ht="16.5" x14ac:dyDescent="0.25">
      <c r="A3" s="42" t="s">
        <v>28</v>
      </c>
      <c r="B3" s="44" t="s">
        <v>29</v>
      </c>
      <c r="C3" s="44"/>
      <c r="D3" s="44"/>
      <c r="E3" s="44" t="s">
        <v>30</v>
      </c>
      <c r="F3" s="44"/>
      <c r="G3" s="44"/>
      <c r="H3" s="44"/>
      <c r="I3" s="44"/>
      <c r="J3" s="44"/>
      <c r="K3" s="44"/>
      <c r="L3" s="44"/>
      <c r="M3" s="44" t="s">
        <v>31</v>
      </c>
      <c r="N3" s="44"/>
      <c r="O3" s="44"/>
      <c r="P3" s="46"/>
    </row>
    <row r="4" spans="1:16" ht="33" x14ac:dyDescent="0.25">
      <c r="A4" s="43"/>
      <c r="B4" s="45"/>
      <c r="C4" s="45"/>
      <c r="D4" s="45"/>
      <c r="E4" s="36" t="s">
        <v>32</v>
      </c>
      <c r="F4" s="36" t="s">
        <v>33</v>
      </c>
      <c r="G4" s="36" t="s">
        <v>34</v>
      </c>
      <c r="H4" s="36" t="s">
        <v>35</v>
      </c>
      <c r="I4" s="36" t="s">
        <v>36</v>
      </c>
      <c r="J4" s="36" t="s">
        <v>37</v>
      </c>
      <c r="K4" s="36" t="s">
        <v>38</v>
      </c>
      <c r="L4" s="36" t="s">
        <v>39</v>
      </c>
      <c r="M4" s="47" t="s">
        <v>159</v>
      </c>
      <c r="N4" s="48"/>
      <c r="O4" s="48"/>
      <c r="P4" s="49"/>
    </row>
    <row r="5" spans="1:16" ht="16.5" x14ac:dyDescent="0.25">
      <c r="A5" s="53" t="s">
        <v>40</v>
      </c>
      <c r="B5" s="45" t="s">
        <v>41</v>
      </c>
      <c r="C5" s="45"/>
      <c r="D5" s="45"/>
      <c r="E5" s="56"/>
      <c r="F5" s="69"/>
      <c r="G5" s="11"/>
      <c r="H5" s="11"/>
      <c r="I5" s="11"/>
      <c r="J5" s="70">
        <v>0</v>
      </c>
      <c r="K5" s="56">
        <v>0</v>
      </c>
      <c r="L5" s="56">
        <v>0</v>
      </c>
      <c r="M5" s="50"/>
      <c r="N5" s="51"/>
      <c r="O5" s="51"/>
      <c r="P5" s="52"/>
    </row>
    <row r="6" spans="1:16" ht="19.5" x14ac:dyDescent="0.25">
      <c r="A6" s="54"/>
      <c r="B6" s="45"/>
      <c r="C6" s="45"/>
      <c r="D6" s="45"/>
      <c r="E6" s="56"/>
      <c r="F6" s="69"/>
      <c r="G6" s="12" t="s">
        <v>42</v>
      </c>
      <c r="H6" s="9"/>
      <c r="I6" s="13">
        <v>8</v>
      </c>
      <c r="J6" s="70"/>
      <c r="K6" s="56"/>
      <c r="L6" s="56"/>
      <c r="M6" s="71" t="s">
        <v>43</v>
      </c>
      <c r="N6" s="72"/>
      <c r="O6" s="17" t="s">
        <v>45</v>
      </c>
      <c r="P6" s="14" t="s">
        <v>44</v>
      </c>
    </row>
    <row r="7" spans="1:16" ht="19.5" x14ac:dyDescent="0.25">
      <c r="A7" s="55"/>
      <c r="B7" s="45"/>
      <c r="C7" s="75"/>
      <c r="D7" s="75"/>
      <c r="E7" s="56"/>
      <c r="F7" s="69"/>
      <c r="G7" s="15"/>
      <c r="H7" s="16"/>
      <c r="I7" s="15"/>
      <c r="J7" s="70"/>
      <c r="K7" s="56"/>
      <c r="L7" s="56"/>
      <c r="M7" s="73"/>
      <c r="N7" s="74"/>
      <c r="O7" s="17" t="s">
        <v>131</v>
      </c>
      <c r="P7" s="14" t="s">
        <v>46</v>
      </c>
    </row>
    <row r="8" spans="1:16" ht="16.5" x14ac:dyDescent="0.25">
      <c r="A8" s="43" t="s">
        <v>47</v>
      </c>
      <c r="B8" s="57"/>
      <c r="C8" s="58" t="s">
        <v>48</v>
      </c>
      <c r="D8" s="59"/>
      <c r="E8" s="59"/>
      <c r="F8" s="59"/>
      <c r="G8" s="58" t="s">
        <v>49</v>
      </c>
      <c r="H8" s="59"/>
      <c r="I8" s="59"/>
      <c r="J8" s="59"/>
      <c r="K8" s="59"/>
      <c r="L8" s="60"/>
      <c r="M8" s="61" t="s">
        <v>50</v>
      </c>
      <c r="N8" s="45"/>
      <c r="O8" s="62" t="s">
        <v>132</v>
      </c>
      <c r="P8" s="64" t="s">
        <v>157</v>
      </c>
    </row>
    <row r="9" spans="1:16" ht="16.5" x14ac:dyDescent="0.25">
      <c r="A9" s="43"/>
      <c r="B9" s="57"/>
      <c r="C9" s="66" t="s">
        <v>51</v>
      </c>
      <c r="D9" s="67"/>
      <c r="E9" s="67"/>
      <c r="F9" s="67"/>
      <c r="G9" s="66" t="s">
        <v>52</v>
      </c>
      <c r="H9" s="67"/>
      <c r="I9" s="67"/>
      <c r="J9" s="67"/>
      <c r="K9" s="67"/>
      <c r="L9" s="68"/>
      <c r="M9" s="61"/>
      <c r="N9" s="45"/>
      <c r="O9" s="63"/>
      <c r="P9" s="65"/>
    </row>
    <row r="10" spans="1:16" ht="26.45" customHeight="1" x14ac:dyDescent="0.25">
      <c r="A10" s="43" t="s">
        <v>53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 t="s">
        <v>54</v>
      </c>
      <c r="P10" s="81"/>
    </row>
    <row r="11" spans="1:16" ht="16.5" x14ac:dyDescent="0.25">
      <c r="A11" s="43" t="s">
        <v>55</v>
      </c>
      <c r="B11" s="45"/>
      <c r="C11" s="45" t="s">
        <v>56</v>
      </c>
      <c r="D11" s="45"/>
      <c r="E11" s="45"/>
      <c r="F11" s="45"/>
      <c r="G11" s="45" t="s">
        <v>57</v>
      </c>
      <c r="H11" s="45"/>
      <c r="I11" s="45"/>
      <c r="J11" s="45"/>
      <c r="K11" s="45"/>
      <c r="L11" s="45"/>
      <c r="M11" s="45"/>
      <c r="N11" s="45"/>
      <c r="O11" s="45"/>
      <c r="P11" s="82"/>
    </row>
    <row r="12" spans="1:16" ht="25.15" customHeight="1" x14ac:dyDescent="0.25">
      <c r="A12" s="84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83"/>
    </row>
    <row r="13" spans="1:16" x14ac:dyDescent="0.25">
      <c r="A13" s="77" t="s">
        <v>58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</row>
    <row r="14" spans="1:16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</row>
    <row r="15" spans="1:16" ht="19.5" x14ac:dyDescent="0.25">
      <c r="A15" s="79" t="s">
        <v>59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</row>
    <row r="16" spans="1:16" ht="17.25" thickBot="1" x14ac:dyDescent="0.3">
      <c r="A16" s="80" t="s">
        <v>158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</row>
    <row r="17" spans="1:16" ht="16.5" x14ac:dyDescent="0.25">
      <c r="A17" s="85" t="s">
        <v>60</v>
      </c>
      <c r="B17" s="86"/>
      <c r="C17" s="86"/>
      <c r="D17" s="86" t="s">
        <v>61</v>
      </c>
      <c r="E17" s="86"/>
      <c r="F17" s="86"/>
      <c r="G17" s="86"/>
      <c r="H17" s="86" t="s">
        <v>62</v>
      </c>
      <c r="I17" s="86"/>
      <c r="J17" s="86"/>
      <c r="K17" s="86" t="s">
        <v>63</v>
      </c>
      <c r="L17" s="86"/>
      <c r="M17" s="86"/>
      <c r="N17" s="86" t="s">
        <v>64</v>
      </c>
      <c r="O17" s="86"/>
      <c r="P17" s="18" t="s">
        <v>65</v>
      </c>
    </row>
    <row r="18" spans="1:16" s="33" customFormat="1" ht="42" customHeight="1" x14ac:dyDescent="0.25">
      <c r="A18" s="128" t="s">
        <v>152</v>
      </c>
      <c r="B18" s="129"/>
      <c r="C18" s="130"/>
      <c r="D18" s="131"/>
      <c r="E18" s="131"/>
      <c r="F18" s="131"/>
      <c r="G18" s="131"/>
      <c r="H18" s="132"/>
      <c r="I18" s="133"/>
      <c r="J18" s="134"/>
      <c r="K18" s="92">
        <v>8</v>
      </c>
      <c r="L18" s="92"/>
      <c r="M18" s="92"/>
      <c r="N18" s="93">
        <v>1000</v>
      </c>
      <c r="O18" s="93"/>
      <c r="P18" s="26">
        <f>N18*K18</f>
        <v>8000</v>
      </c>
    </row>
    <row r="19" spans="1:16" ht="21" x14ac:dyDescent="0.25">
      <c r="A19" s="37"/>
      <c r="B19" s="87"/>
      <c r="C19" s="38"/>
      <c r="D19" s="92"/>
      <c r="E19" s="92"/>
      <c r="F19" s="92"/>
      <c r="G19" s="92"/>
      <c r="H19" s="89"/>
      <c r="I19" s="90"/>
      <c r="J19" s="91"/>
      <c r="K19" s="92"/>
      <c r="L19" s="92"/>
      <c r="M19" s="92"/>
      <c r="N19" s="93"/>
      <c r="O19" s="93"/>
      <c r="P19" s="26"/>
    </row>
    <row r="20" spans="1:16" ht="21" x14ac:dyDescent="0.25">
      <c r="A20" s="37"/>
      <c r="B20" s="87"/>
      <c r="C20" s="38"/>
      <c r="D20" s="89"/>
      <c r="E20" s="90"/>
      <c r="F20" s="90"/>
      <c r="G20" s="91"/>
      <c r="H20" s="89"/>
      <c r="I20" s="90"/>
      <c r="J20" s="91"/>
      <c r="K20" s="92"/>
      <c r="L20" s="92"/>
      <c r="M20" s="92"/>
      <c r="N20" s="93"/>
      <c r="O20" s="93"/>
      <c r="P20" s="26"/>
    </row>
    <row r="21" spans="1:16" ht="21" x14ac:dyDescent="0.25">
      <c r="A21" s="37"/>
      <c r="B21" s="87"/>
      <c r="C21" s="38"/>
      <c r="D21" s="92"/>
      <c r="E21" s="92"/>
      <c r="F21" s="92"/>
      <c r="G21" s="92"/>
      <c r="H21" s="89"/>
      <c r="I21" s="90"/>
      <c r="J21" s="91"/>
      <c r="K21" s="92"/>
      <c r="L21" s="92"/>
      <c r="M21" s="92"/>
      <c r="N21" s="93"/>
      <c r="O21" s="93"/>
      <c r="P21" s="26"/>
    </row>
    <row r="22" spans="1:16" ht="21" x14ac:dyDescent="0.25">
      <c r="A22" s="37"/>
      <c r="B22" s="87"/>
      <c r="C22" s="38"/>
      <c r="D22" s="89"/>
      <c r="E22" s="90"/>
      <c r="F22" s="90"/>
      <c r="G22" s="91"/>
      <c r="H22" s="89"/>
      <c r="I22" s="90"/>
      <c r="J22" s="91"/>
      <c r="K22" s="92"/>
      <c r="L22" s="92"/>
      <c r="M22" s="92"/>
      <c r="N22" s="93"/>
      <c r="O22" s="93"/>
      <c r="P22" s="26"/>
    </row>
    <row r="23" spans="1:16" ht="21" x14ac:dyDescent="0.25">
      <c r="A23" s="37"/>
      <c r="B23" s="87"/>
      <c r="C23" s="38"/>
      <c r="D23" s="89"/>
      <c r="E23" s="90"/>
      <c r="F23" s="90"/>
      <c r="G23" s="91"/>
      <c r="H23" s="89"/>
      <c r="I23" s="90"/>
      <c r="J23" s="91"/>
      <c r="K23" s="92"/>
      <c r="L23" s="92"/>
      <c r="M23" s="92"/>
      <c r="N23" s="93"/>
      <c r="O23" s="93"/>
      <c r="P23" s="26"/>
    </row>
    <row r="24" spans="1:16" ht="21" x14ac:dyDescent="0.25">
      <c r="A24" s="37"/>
      <c r="B24" s="87"/>
      <c r="C24" s="38"/>
      <c r="D24" s="89"/>
      <c r="E24" s="90"/>
      <c r="F24" s="90"/>
      <c r="G24" s="91"/>
      <c r="H24" s="89"/>
      <c r="I24" s="90"/>
      <c r="J24" s="91"/>
      <c r="K24" s="92"/>
      <c r="L24" s="92"/>
      <c r="M24" s="92"/>
      <c r="N24" s="93"/>
      <c r="O24" s="93"/>
      <c r="P24" s="26"/>
    </row>
    <row r="25" spans="1:16" ht="21.75" thickBot="1" x14ac:dyDescent="0.3">
      <c r="A25" s="94"/>
      <c r="B25" s="95"/>
      <c r="C25" s="96"/>
      <c r="D25" s="89"/>
      <c r="E25" s="90"/>
      <c r="F25" s="90"/>
      <c r="G25" s="91"/>
      <c r="H25" s="89"/>
      <c r="I25" s="90"/>
      <c r="J25" s="91"/>
      <c r="K25" s="92"/>
      <c r="L25" s="92"/>
      <c r="M25" s="92"/>
      <c r="N25" s="93"/>
      <c r="O25" s="93"/>
      <c r="P25" s="26"/>
    </row>
    <row r="26" spans="1:16" ht="20.25" thickBot="1" x14ac:dyDescent="0.3">
      <c r="A26" s="97" t="s">
        <v>66</v>
      </c>
      <c r="B26" s="98"/>
      <c r="C26" s="99"/>
      <c r="D26" s="100"/>
      <c r="E26" s="98"/>
      <c r="F26" s="98"/>
      <c r="G26" s="99"/>
      <c r="H26" s="100"/>
      <c r="I26" s="98"/>
      <c r="J26" s="99"/>
      <c r="K26" s="100"/>
      <c r="L26" s="98"/>
      <c r="M26" s="99"/>
      <c r="N26" s="101"/>
      <c r="O26" s="102"/>
      <c r="P26" s="19">
        <f>SUM(P18:P25)</f>
        <v>8000</v>
      </c>
    </row>
    <row r="27" spans="1:16" ht="16.5" x14ac:dyDescent="0.25">
      <c r="A27" s="85" t="s">
        <v>67</v>
      </c>
      <c r="B27" s="86"/>
      <c r="C27" s="86"/>
      <c r="D27" s="113" t="s">
        <v>68</v>
      </c>
      <c r="E27" s="114"/>
      <c r="F27" s="114"/>
      <c r="G27" s="114"/>
      <c r="H27" s="114"/>
      <c r="I27" s="114"/>
      <c r="J27" s="114"/>
      <c r="K27" s="115" t="s">
        <v>69</v>
      </c>
      <c r="L27" s="116"/>
      <c r="M27" s="116"/>
      <c r="N27" s="117"/>
      <c r="O27" s="113" t="s">
        <v>70</v>
      </c>
      <c r="P27" s="118"/>
    </row>
    <row r="28" spans="1:16" ht="29.45" customHeight="1" x14ac:dyDescent="0.25">
      <c r="A28" s="119"/>
      <c r="B28" s="120"/>
      <c r="C28" s="120"/>
      <c r="D28" s="121"/>
      <c r="E28" s="122"/>
      <c r="F28" s="122"/>
      <c r="G28" s="122"/>
      <c r="H28" s="122"/>
      <c r="I28" s="122"/>
      <c r="J28" s="122"/>
      <c r="K28" s="121"/>
      <c r="L28" s="122"/>
      <c r="M28" s="122"/>
      <c r="N28" s="123"/>
      <c r="O28" s="122"/>
      <c r="P28" s="124"/>
    </row>
    <row r="29" spans="1:16" ht="16.5" x14ac:dyDescent="0.25">
      <c r="A29" s="119" t="s">
        <v>71</v>
      </c>
      <c r="B29" s="120"/>
      <c r="C29" s="120"/>
      <c r="D29" s="121" t="s">
        <v>72</v>
      </c>
      <c r="E29" s="122"/>
      <c r="F29" s="122"/>
      <c r="G29" s="122"/>
      <c r="H29" s="122"/>
      <c r="I29" s="122"/>
      <c r="J29" s="122"/>
      <c r="K29" s="103"/>
      <c r="L29" s="104"/>
      <c r="M29" s="104"/>
      <c r="N29" s="105"/>
      <c r="O29" s="104"/>
      <c r="P29" s="125"/>
    </row>
    <row r="30" spans="1:16" ht="25.9" customHeight="1" thickBot="1" x14ac:dyDescent="0.3">
      <c r="A30" s="106"/>
      <c r="B30" s="107"/>
      <c r="C30" s="107"/>
      <c r="D30" s="108"/>
      <c r="E30" s="109"/>
      <c r="F30" s="109"/>
      <c r="G30" s="109"/>
      <c r="H30" s="109"/>
      <c r="I30" s="109"/>
      <c r="J30" s="109"/>
      <c r="K30" s="110"/>
      <c r="L30" s="111"/>
      <c r="M30" s="111"/>
      <c r="N30" s="112"/>
      <c r="O30" s="111"/>
      <c r="P30" s="126"/>
    </row>
    <row r="31" spans="1:16" ht="16.5" x14ac:dyDescent="0.25">
      <c r="A31" s="10" t="s">
        <v>73</v>
      </c>
      <c r="B31" s="8"/>
      <c r="C31" s="8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</row>
    <row r="32" spans="1:16" x14ac:dyDescent="0.25">
      <c r="A32" s="10" t="s">
        <v>74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</row>
    <row r="33" spans="1:16" x14ac:dyDescent="0.25">
      <c r="A33" s="10" t="s">
        <v>75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</row>
  </sheetData>
  <mergeCells count="105">
    <mergeCell ref="K29:N29"/>
    <mergeCell ref="A30:C30"/>
    <mergeCell ref="D30:J30"/>
    <mergeCell ref="K30:N30"/>
    <mergeCell ref="A27:C27"/>
    <mergeCell ref="D27:J27"/>
    <mergeCell ref="K27:N27"/>
    <mergeCell ref="O27:P27"/>
    <mergeCell ref="A28:C28"/>
    <mergeCell ref="D28:J28"/>
    <mergeCell ref="K28:N28"/>
    <mergeCell ref="O28:P30"/>
    <mergeCell ref="A29:C29"/>
    <mergeCell ref="D29:J29"/>
    <mergeCell ref="A25:C25"/>
    <mergeCell ref="D25:G25"/>
    <mergeCell ref="H25:J25"/>
    <mergeCell ref="K25:M25"/>
    <mergeCell ref="N25:O25"/>
    <mergeCell ref="A26:C26"/>
    <mergeCell ref="D26:G26"/>
    <mergeCell ref="H26:J26"/>
    <mergeCell ref="K26:M26"/>
    <mergeCell ref="N26:O26"/>
    <mergeCell ref="A23:C23"/>
    <mergeCell ref="D23:G23"/>
    <mergeCell ref="H23:J23"/>
    <mergeCell ref="K23:M23"/>
    <mergeCell ref="N23:O23"/>
    <mergeCell ref="A24:C24"/>
    <mergeCell ref="D24:G24"/>
    <mergeCell ref="H24:J24"/>
    <mergeCell ref="K24:M24"/>
    <mergeCell ref="N24:O24"/>
    <mergeCell ref="A21:C21"/>
    <mergeCell ref="D21:G21"/>
    <mergeCell ref="H21:J21"/>
    <mergeCell ref="K21:M21"/>
    <mergeCell ref="N21:O21"/>
    <mergeCell ref="A22:C22"/>
    <mergeCell ref="D22:G22"/>
    <mergeCell ref="H22:J22"/>
    <mergeCell ref="K22:M22"/>
    <mergeCell ref="N22:O22"/>
    <mergeCell ref="A19:C19"/>
    <mergeCell ref="D19:G19"/>
    <mergeCell ref="H19:J19"/>
    <mergeCell ref="K19:M19"/>
    <mergeCell ref="N19:O19"/>
    <mergeCell ref="A20:C20"/>
    <mergeCell ref="D20:G20"/>
    <mergeCell ref="H20:J20"/>
    <mergeCell ref="K20:M20"/>
    <mergeCell ref="N20:O20"/>
    <mergeCell ref="A17:C17"/>
    <mergeCell ref="D17:G17"/>
    <mergeCell ref="H17:J17"/>
    <mergeCell ref="K17:M17"/>
    <mergeCell ref="N17:O17"/>
    <mergeCell ref="A18:C18"/>
    <mergeCell ref="D18:G18"/>
    <mergeCell ref="H18:J18"/>
    <mergeCell ref="K18:M18"/>
    <mergeCell ref="N18:O18"/>
    <mergeCell ref="C12:F12"/>
    <mergeCell ref="G12:L12"/>
    <mergeCell ref="A13:P13"/>
    <mergeCell ref="A14:P14"/>
    <mergeCell ref="A15:P15"/>
    <mergeCell ref="A16:P16"/>
    <mergeCell ref="A10:B10"/>
    <mergeCell ref="C10:F10"/>
    <mergeCell ref="G10:L10"/>
    <mergeCell ref="M10:N12"/>
    <mergeCell ref="O10:O12"/>
    <mergeCell ref="P10:P12"/>
    <mergeCell ref="A11:B11"/>
    <mergeCell ref="C11:F11"/>
    <mergeCell ref="G11:L11"/>
    <mergeCell ref="A12:B12"/>
    <mergeCell ref="A8:B9"/>
    <mergeCell ref="C8:F8"/>
    <mergeCell ref="G8:L8"/>
    <mergeCell ref="M8:N9"/>
    <mergeCell ref="O8:O9"/>
    <mergeCell ref="P8:P9"/>
    <mergeCell ref="C9:F9"/>
    <mergeCell ref="G9:L9"/>
    <mergeCell ref="F5:F7"/>
    <mergeCell ref="J5:J7"/>
    <mergeCell ref="K5:K7"/>
    <mergeCell ref="L5:L7"/>
    <mergeCell ref="B6:D6"/>
    <mergeCell ref="M6:N7"/>
    <mergeCell ref="B7:D7"/>
    <mergeCell ref="C1:N1"/>
    <mergeCell ref="C2:N2"/>
    <mergeCell ref="A3:A4"/>
    <mergeCell ref="B3:D4"/>
    <mergeCell ref="E3:L3"/>
    <mergeCell ref="M3:P3"/>
    <mergeCell ref="M4:P5"/>
    <mergeCell ref="A5:A7"/>
    <mergeCell ref="B5:D5"/>
    <mergeCell ref="E5:E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112-1禾山林名單</vt:lpstr>
      <vt:lpstr>112-1印領清冊</vt:lpstr>
      <vt:lpstr>112-1憑證</vt:lpstr>
      <vt:lpstr>112-2印領清冊 </vt:lpstr>
      <vt:lpstr>112-2憑證</vt:lpstr>
      <vt:lpstr>113-1印領清冊</vt:lpstr>
      <vt:lpstr>113-1憑證</vt:lpstr>
      <vt:lpstr>113-2印領清冊</vt:lpstr>
      <vt:lpstr>113-2憑證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名冊輸出</dc:title>
  <dc:subject>名冊輸出</dc:subject>
  <dc:creator>CloudSchool</dc:creator>
  <cp:keywords>office 2007 openxml php</cp:keywords>
  <dc:description>This document for Office 2007 XLSX, generated using PHP classes.</dc:description>
  <cp:lastModifiedBy>admin</cp:lastModifiedBy>
  <cp:lastPrinted>2025-03-13T00:45:52Z</cp:lastPrinted>
  <dcterms:created xsi:type="dcterms:W3CDTF">2021-10-04T07:42:07Z</dcterms:created>
  <dcterms:modified xsi:type="dcterms:W3CDTF">2025-03-13T00:46:27Z</dcterms:modified>
  <cp:category>name_list</cp:category>
</cp:coreProperties>
</file>